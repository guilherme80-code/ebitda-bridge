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26862\Downloads\"/>
    </mc:Choice>
  </mc:AlternateContent>
  <xr:revisionPtr revIDLastSave="0" documentId="8_{FCCA113C-B966-459A-951A-D84CD804474F}" xr6:coauthVersionLast="47" xr6:coauthVersionMax="47" xr10:uidLastSave="{00000000-0000-0000-0000-000000000000}"/>
  <bookViews>
    <workbookView xWindow="-108" yWindow="-108" windowWidth="23256" windowHeight="12456" xr2:uid="{6932E655-9C54-46BD-A935-9118847A0116}"/>
  </bookViews>
  <sheets>
    <sheet name="Cálculo" sheetId="3" r:id="rId1"/>
    <sheet name="Receita" sheetId="4" r:id="rId2"/>
    <sheet name="Input price" sheetId="6" r:id="rId3"/>
    <sheet name="Usage" sheetId="7" r:id="rId4"/>
    <sheet name="Fixed Cost" sheetId="8" r:id="rId5"/>
    <sheet name="Forex" sheetId="9" r:id="rId6"/>
    <sheet name="SV-Others" sheetId="11" r:id="rId7"/>
    <sheet name="EBITDA" sheetId="12" r:id="rId8"/>
    <sheet name="Bridge" sheetId="1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0" hidden="1">Cálculo!$B$81:$Q$180</definedName>
    <definedName name="_xlnm._FilterDatabase" localSheetId="1" hidden="1">Receita!$B$81:$S$116</definedName>
    <definedName name="_xlnm.Print_Area" localSheetId="0">Cálculo!$B$2:$M$182</definedName>
    <definedName name="_xlnm.Print_Area" localSheetId="4">'Fixed Cost'!$B$6:$M$17</definedName>
    <definedName name="_xlnm.Print_Area" localSheetId="5">Forex!$B$2:$M$53</definedName>
    <definedName name="_xlnm.Print_Area" localSheetId="2">'Input price'!$B$7:$M$25</definedName>
    <definedName name="_xlnm.Print_Area" localSheetId="1">Receita!$B$2:$M$116</definedName>
    <definedName name="_xlnm.Print_Area" localSheetId="3">Usage!$B$6:$M$8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2" i="9" l="1"/>
  <c r="E52" i="9"/>
  <c r="O47" i="9"/>
  <c r="P47" i="9" s="1"/>
  <c r="H46" i="9"/>
  <c r="F46" i="9"/>
  <c r="E46" i="9"/>
  <c r="C46" i="9"/>
  <c r="H45" i="9"/>
  <c r="F45" i="9"/>
  <c r="E45" i="9"/>
  <c r="C45" i="9"/>
  <c r="H44" i="9"/>
  <c r="F44" i="9"/>
  <c r="E44" i="9"/>
  <c r="C44" i="9"/>
  <c r="H43" i="9"/>
  <c r="F43" i="9"/>
  <c r="E43" i="9"/>
  <c r="C43" i="9"/>
  <c r="H42" i="9"/>
  <c r="F42" i="9"/>
  <c r="E42" i="9"/>
  <c r="C42" i="9"/>
  <c r="H41" i="9"/>
  <c r="F41" i="9"/>
  <c r="E41" i="9"/>
  <c r="C41" i="9"/>
  <c r="H40" i="9"/>
  <c r="F40" i="9"/>
  <c r="E40" i="9"/>
  <c r="C40" i="9"/>
  <c r="H39" i="9"/>
  <c r="F39" i="9"/>
  <c r="E39" i="9"/>
  <c r="C39" i="9"/>
  <c r="H38" i="9"/>
  <c r="F38" i="9"/>
  <c r="E38" i="9"/>
  <c r="C38" i="9"/>
  <c r="H37" i="9"/>
  <c r="F37" i="9"/>
  <c r="E37" i="9"/>
  <c r="C37" i="9"/>
  <c r="H36" i="9"/>
  <c r="F36" i="9"/>
  <c r="E36" i="9"/>
  <c r="C36" i="9"/>
  <c r="H35" i="9"/>
  <c r="F35" i="9"/>
  <c r="E35" i="9"/>
  <c r="C35" i="9"/>
  <c r="H34" i="9"/>
  <c r="F34" i="9"/>
  <c r="E34" i="9"/>
  <c r="C34" i="9"/>
  <c r="H33" i="9"/>
  <c r="F33" i="9"/>
  <c r="E33" i="9"/>
  <c r="C33" i="9"/>
  <c r="H32" i="9"/>
  <c r="F32" i="9"/>
  <c r="E32" i="9"/>
  <c r="C32" i="9"/>
  <c r="H31" i="9"/>
  <c r="F31" i="9"/>
  <c r="E31" i="9"/>
  <c r="C31" i="9"/>
  <c r="H30" i="9"/>
  <c r="F30" i="9"/>
  <c r="E30" i="9"/>
  <c r="C30" i="9"/>
  <c r="H29" i="9"/>
  <c r="F29" i="9"/>
  <c r="E29" i="9"/>
  <c r="C29" i="9"/>
  <c r="H28" i="9"/>
  <c r="F28" i="9"/>
  <c r="E28" i="9"/>
  <c r="C28" i="9"/>
  <c r="H27" i="9"/>
  <c r="F27" i="9"/>
  <c r="E27" i="9"/>
  <c r="C27" i="9"/>
  <c r="H26" i="9"/>
  <c r="F26" i="9"/>
  <c r="E26" i="9"/>
  <c r="C26" i="9"/>
  <c r="H25" i="9"/>
  <c r="F25" i="9"/>
  <c r="E25" i="9"/>
  <c r="C25" i="9"/>
  <c r="H24" i="9"/>
  <c r="F24" i="9"/>
  <c r="E24" i="9"/>
  <c r="C24" i="9"/>
  <c r="H23" i="9"/>
  <c r="F23" i="9"/>
  <c r="E23" i="9"/>
  <c r="C23" i="9"/>
  <c r="H22" i="9"/>
  <c r="F22" i="9"/>
  <c r="E22" i="9"/>
  <c r="C22" i="9"/>
  <c r="H21" i="9"/>
  <c r="F21" i="9"/>
  <c r="E21" i="9"/>
  <c r="C21" i="9"/>
  <c r="H20" i="9"/>
  <c r="F20" i="9"/>
  <c r="E20" i="9"/>
  <c r="C20" i="9"/>
  <c r="H19" i="9"/>
  <c r="F19" i="9"/>
  <c r="E19" i="9"/>
  <c r="C19" i="9"/>
  <c r="H18" i="9"/>
  <c r="F18" i="9"/>
  <c r="E18" i="9"/>
  <c r="C18" i="9"/>
  <c r="H17" i="9"/>
  <c r="F17" i="9"/>
  <c r="E17" i="9"/>
  <c r="C17" i="9"/>
  <c r="F14" i="9"/>
  <c r="C13" i="9"/>
  <c r="B13" i="9"/>
  <c r="C3" i="9"/>
  <c r="B3" i="9"/>
  <c r="H16" i="8"/>
  <c r="E16" i="8"/>
  <c r="H15" i="8"/>
  <c r="E15" i="8"/>
  <c r="J15" i="8" s="1"/>
  <c r="H14" i="8"/>
  <c r="E14" i="8"/>
  <c r="H13" i="8"/>
  <c r="E13" i="8"/>
  <c r="H12" i="8"/>
  <c r="I12" i="8" s="1"/>
  <c r="J12" i="8" s="1"/>
  <c r="E12" i="8"/>
  <c r="J11" i="8"/>
  <c r="H11" i="8"/>
  <c r="E11" i="8"/>
  <c r="H10" i="8"/>
  <c r="E10" i="8"/>
  <c r="H9" i="8"/>
  <c r="E9" i="8"/>
  <c r="H8" i="8"/>
  <c r="I8" i="8" s="1"/>
  <c r="E8" i="8"/>
  <c r="J8" i="8" s="1"/>
  <c r="H7" i="8"/>
  <c r="E7" i="8"/>
  <c r="J8" i="7"/>
  <c r="G24" i="6"/>
  <c r="J20" i="6"/>
  <c r="J19" i="6"/>
  <c r="J18" i="6"/>
  <c r="G17" i="6"/>
  <c r="D17" i="6"/>
  <c r="J16" i="6"/>
  <c r="J15" i="6"/>
  <c r="I14" i="6"/>
  <c r="G14" i="6"/>
  <c r="D14" i="6"/>
  <c r="I13" i="6"/>
  <c r="G13" i="6"/>
  <c r="D13" i="6"/>
  <c r="I12" i="6"/>
  <c r="G12" i="6"/>
  <c r="D12" i="6"/>
  <c r="I11" i="6"/>
  <c r="G11" i="6"/>
  <c r="D11" i="6"/>
  <c r="I10" i="6"/>
  <c r="G10" i="6"/>
  <c r="D10" i="6"/>
  <c r="I9" i="6"/>
  <c r="G9" i="6"/>
  <c r="D9" i="6"/>
  <c r="I8" i="6"/>
  <c r="G8" i="6"/>
  <c r="D8" i="6"/>
  <c r="H116" i="4"/>
  <c r="E116" i="4"/>
  <c r="J113" i="4"/>
  <c r="F80" i="4"/>
  <c r="F113" i="4" s="1"/>
  <c r="D80" i="4"/>
  <c r="D113" i="4" s="1"/>
  <c r="C80" i="4"/>
  <c r="C113" i="4" s="1"/>
  <c r="B80" i="4"/>
  <c r="B113" i="4" s="1"/>
  <c r="B79" i="4"/>
  <c r="B112" i="4" s="1"/>
  <c r="B78" i="4"/>
  <c r="B111" i="4" s="1"/>
  <c r="B77" i="4"/>
  <c r="B110" i="4" s="1"/>
  <c r="D74" i="4"/>
  <c r="D75" i="4" s="1"/>
  <c r="D72" i="4"/>
  <c r="D76" i="4" s="1"/>
  <c r="A71" i="4"/>
  <c r="D69" i="4"/>
  <c r="D70" i="4" s="1"/>
  <c r="D68" i="4"/>
  <c r="A67" i="4"/>
  <c r="A66" i="4"/>
  <c r="D63" i="4"/>
  <c r="D64" i="4" s="1"/>
  <c r="A62" i="4"/>
  <c r="A61" i="4"/>
  <c r="D56" i="4"/>
  <c r="D55" i="4" s="1"/>
  <c r="D53" i="4"/>
  <c r="D52" i="4"/>
  <c r="D51" i="4"/>
  <c r="D54" i="4" s="1"/>
  <c r="D50" i="4"/>
  <c r="O47" i="4"/>
  <c r="P47" i="4" s="1"/>
  <c r="H46" i="4"/>
  <c r="F46" i="4"/>
  <c r="F79" i="4" s="1"/>
  <c r="F112" i="4" s="1"/>
  <c r="E46" i="4"/>
  <c r="C46" i="4"/>
  <c r="H45" i="4"/>
  <c r="F45" i="4"/>
  <c r="E45" i="4"/>
  <c r="C45" i="4"/>
  <c r="C78" i="4" s="1"/>
  <c r="C111" i="4" s="1"/>
  <c r="H44" i="4"/>
  <c r="F44" i="4"/>
  <c r="F77" i="4" s="1"/>
  <c r="F110" i="4" s="1"/>
  <c r="E44" i="4"/>
  <c r="C44" i="4"/>
  <c r="C77" i="4" s="1"/>
  <c r="C110" i="4" s="1"/>
  <c r="H43" i="4"/>
  <c r="F43" i="4"/>
  <c r="E43" i="4"/>
  <c r="C43" i="4"/>
  <c r="C76" i="4" s="1"/>
  <c r="C109" i="4" s="1"/>
  <c r="H42" i="4"/>
  <c r="F42" i="4"/>
  <c r="F75" i="4" s="1"/>
  <c r="F108" i="4" s="1"/>
  <c r="E42" i="4"/>
  <c r="C42" i="4"/>
  <c r="H41" i="4"/>
  <c r="F41" i="4"/>
  <c r="E41" i="4"/>
  <c r="C41" i="4"/>
  <c r="H40" i="4"/>
  <c r="F40" i="4"/>
  <c r="F73" i="4" s="1"/>
  <c r="F106" i="4" s="1"/>
  <c r="E40" i="4"/>
  <c r="C40" i="4"/>
  <c r="C73" i="4" s="1"/>
  <c r="C106" i="4" s="1"/>
  <c r="H39" i="4"/>
  <c r="F39" i="4"/>
  <c r="E39" i="4"/>
  <c r="C39" i="4"/>
  <c r="C72" i="4" s="1"/>
  <c r="C105" i="4" s="1"/>
  <c r="H38" i="4"/>
  <c r="F38" i="4"/>
  <c r="F71" i="4" s="1"/>
  <c r="F104" i="4" s="1"/>
  <c r="E38" i="4"/>
  <c r="C38" i="4"/>
  <c r="C71" i="4" s="1"/>
  <c r="C104" i="4" s="1"/>
  <c r="H37" i="4"/>
  <c r="F37" i="4"/>
  <c r="E37" i="4"/>
  <c r="C37" i="4"/>
  <c r="C70" i="4" s="1"/>
  <c r="C103" i="4" s="1"/>
  <c r="H36" i="4"/>
  <c r="F36" i="4"/>
  <c r="E36" i="4"/>
  <c r="C36" i="4"/>
  <c r="H35" i="4"/>
  <c r="F35" i="4"/>
  <c r="F68" i="4" s="1"/>
  <c r="F101" i="4" s="1"/>
  <c r="E35" i="4"/>
  <c r="C35" i="4"/>
  <c r="C68" i="4" s="1"/>
  <c r="C101" i="4" s="1"/>
  <c r="H34" i="4"/>
  <c r="F34" i="4"/>
  <c r="F67" i="4" s="1"/>
  <c r="F100" i="4" s="1"/>
  <c r="E34" i="4"/>
  <c r="C34" i="4"/>
  <c r="C67" i="4" s="1"/>
  <c r="C100" i="4" s="1"/>
  <c r="H33" i="4"/>
  <c r="F33" i="4"/>
  <c r="F66" i="4" s="1"/>
  <c r="F99" i="4" s="1"/>
  <c r="E33" i="4"/>
  <c r="C33" i="4"/>
  <c r="C66" i="4" s="1"/>
  <c r="C99" i="4" s="1"/>
  <c r="H32" i="4"/>
  <c r="F32" i="4"/>
  <c r="F65" i="4" s="1"/>
  <c r="F98" i="4" s="1"/>
  <c r="E32" i="4"/>
  <c r="C32" i="4"/>
  <c r="H31" i="4"/>
  <c r="F31" i="4"/>
  <c r="E31" i="4"/>
  <c r="C31" i="4"/>
  <c r="C64" i="4" s="1"/>
  <c r="C97" i="4" s="1"/>
  <c r="H30" i="4"/>
  <c r="F30" i="4"/>
  <c r="E30" i="4"/>
  <c r="C30" i="4"/>
  <c r="C63" i="4" s="1"/>
  <c r="C96" i="4" s="1"/>
  <c r="H29" i="4"/>
  <c r="F29" i="4"/>
  <c r="F62" i="4" s="1"/>
  <c r="F95" i="4" s="1"/>
  <c r="E29" i="4"/>
  <c r="C29" i="4"/>
  <c r="H28" i="4"/>
  <c r="F28" i="4"/>
  <c r="E28" i="4"/>
  <c r="C28" i="4"/>
  <c r="C61" i="4" s="1"/>
  <c r="C94" i="4" s="1"/>
  <c r="H27" i="4"/>
  <c r="F27" i="4"/>
  <c r="E27" i="4"/>
  <c r="C27" i="4"/>
  <c r="C60" i="4" s="1"/>
  <c r="C93" i="4" s="1"/>
  <c r="H26" i="4"/>
  <c r="F26" i="4"/>
  <c r="F59" i="4" s="1"/>
  <c r="F92" i="4" s="1"/>
  <c r="E26" i="4"/>
  <c r="C26" i="4"/>
  <c r="H25" i="4"/>
  <c r="F25" i="4"/>
  <c r="F58" i="4" s="1"/>
  <c r="F91" i="4" s="1"/>
  <c r="E25" i="4"/>
  <c r="C25" i="4"/>
  <c r="C58" i="4" s="1"/>
  <c r="C91" i="4" s="1"/>
  <c r="H24" i="4"/>
  <c r="F24" i="4"/>
  <c r="F57" i="4" s="1"/>
  <c r="F90" i="4" s="1"/>
  <c r="E24" i="4"/>
  <c r="C24" i="4"/>
  <c r="C57" i="4" s="1"/>
  <c r="C90" i="4" s="1"/>
  <c r="H23" i="4"/>
  <c r="F23" i="4"/>
  <c r="E23" i="4"/>
  <c r="C23" i="4"/>
  <c r="C56" i="4" s="1"/>
  <c r="C89" i="4" s="1"/>
  <c r="H22" i="4"/>
  <c r="F22" i="4"/>
  <c r="F55" i="4" s="1"/>
  <c r="F88" i="4" s="1"/>
  <c r="E22" i="4"/>
  <c r="C22" i="4"/>
  <c r="C55" i="4" s="1"/>
  <c r="C88" i="4" s="1"/>
  <c r="H21" i="4"/>
  <c r="F21" i="4"/>
  <c r="E21" i="4"/>
  <c r="C21" i="4"/>
  <c r="H20" i="4"/>
  <c r="F20" i="4"/>
  <c r="F53" i="4" s="1"/>
  <c r="F86" i="4" s="1"/>
  <c r="E20" i="4"/>
  <c r="C20" i="4"/>
  <c r="C53" i="4" s="1"/>
  <c r="C86" i="4" s="1"/>
  <c r="H19" i="4"/>
  <c r="F19" i="4"/>
  <c r="F52" i="4" s="1"/>
  <c r="F85" i="4" s="1"/>
  <c r="E19" i="4"/>
  <c r="C19" i="4"/>
  <c r="C52" i="4" s="1"/>
  <c r="C85" i="4" s="1"/>
  <c r="H18" i="4"/>
  <c r="F18" i="4"/>
  <c r="F51" i="4" s="1"/>
  <c r="F84" i="4" s="1"/>
  <c r="E18" i="4"/>
  <c r="C18" i="4"/>
  <c r="C51" i="4" s="1"/>
  <c r="H17" i="4"/>
  <c r="F17" i="4"/>
  <c r="E17" i="4"/>
  <c r="C17" i="4"/>
  <c r="F14" i="4"/>
  <c r="I180" i="3"/>
  <c r="I179" i="3"/>
  <c r="I178" i="3"/>
  <c r="I177" i="3"/>
  <c r="I176" i="3"/>
  <c r="H175" i="3"/>
  <c r="E175" i="3"/>
  <c r="E182" i="3" s="1"/>
  <c r="I174" i="3"/>
  <c r="I173" i="3"/>
  <c r="I172" i="3"/>
  <c r="I171" i="3"/>
  <c r="I170" i="3"/>
  <c r="I169" i="3"/>
  <c r="H168" i="3"/>
  <c r="I168" i="3" s="1"/>
  <c r="I167" i="3"/>
  <c r="I166" i="3"/>
  <c r="I165" i="3"/>
  <c r="I162" i="3"/>
  <c r="B162" i="3"/>
  <c r="B161" i="3"/>
  <c r="I160" i="3"/>
  <c r="H160" i="3"/>
  <c r="B160" i="3"/>
  <c r="I159" i="3"/>
  <c r="B158" i="3"/>
  <c r="I157" i="3"/>
  <c r="B157" i="3"/>
  <c r="H156" i="3"/>
  <c r="I156" i="3" s="1"/>
  <c r="B156" i="3"/>
  <c r="I155" i="3"/>
  <c r="H152" i="3"/>
  <c r="L47" i="3" s="1"/>
  <c r="M47" i="3" s="1"/>
  <c r="E152" i="3"/>
  <c r="A60" i="3" s="1"/>
  <c r="J147" i="3"/>
  <c r="J148" i="3" s="1"/>
  <c r="E10" i="3" s="1"/>
  <c r="G144" i="3"/>
  <c r="J140" i="3"/>
  <c r="J139" i="3"/>
  <c r="J138" i="3"/>
  <c r="G137" i="3"/>
  <c r="J137" i="3" s="1"/>
  <c r="D137" i="3"/>
  <c r="J136" i="3"/>
  <c r="J135" i="3"/>
  <c r="I134" i="3"/>
  <c r="G134" i="3"/>
  <c r="D134" i="3"/>
  <c r="I133" i="3"/>
  <c r="G133" i="3"/>
  <c r="D133" i="3"/>
  <c r="I132" i="3"/>
  <c r="G132" i="3"/>
  <c r="D132" i="3"/>
  <c r="I131" i="3"/>
  <c r="G131" i="3"/>
  <c r="D131" i="3"/>
  <c r="I130" i="3"/>
  <c r="G130" i="3"/>
  <c r="D130" i="3"/>
  <c r="I129" i="3"/>
  <c r="G129" i="3"/>
  <c r="D129" i="3"/>
  <c r="I128" i="3"/>
  <c r="G128" i="3"/>
  <c r="D128" i="3"/>
  <c r="H125" i="3"/>
  <c r="E125" i="3"/>
  <c r="H124" i="3"/>
  <c r="E124" i="3"/>
  <c r="H123" i="3"/>
  <c r="I123" i="3" s="1"/>
  <c r="J123" i="3" s="1"/>
  <c r="E123" i="3"/>
  <c r="H122" i="3"/>
  <c r="E122" i="3"/>
  <c r="H121" i="3"/>
  <c r="E121" i="3"/>
  <c r="H120" i="3"/>
  <c r="E120" i="3"/>
  <c r="H119" i="3"/>
  <c r="E119" i="3"/>
  <c r="H118" i="3"/>
  <c r="E118" i="3"/>
  <c r="H117" i="3"/>
  <c r="I117" i="3" s="1"/>
  <c r="J117" i="3" s="1"/>
  <c r="E117" i="3"/>
  <c r="H116" i="3"/>
  <c r="I116" i="3" s="1"/>
  <c r="E116" i="3"/>
  <c r="J113" i="3"/>
  <c r="F80" i="3"/>
  <c r="F113" i="3" s="1"/>
  <c r="D80" i="3"/>
  <c r="C80" i="3"/>
  <c r="C113" i="3" s="1"/>
  <c r="B80" i="3"/>
  <c r="B113" i="3" s="1"/>
  <c r="C79" i="3"/>
  <c r="C112" i="3" s="1"/>
  <c r="B79" i="3"/>
  <c r="B112" i="3" s="1"/>
  <c r="F78" i="3"/>
  <c r="F111" i="3" s="1"/>
  <c r="B78" i="3"/>
  <c r="B111" i="3" s="1"/>
  <c r="B77" i="3"/>
  <c r="B110" i="3" s="1"/>
  <c r="D74" i="3"/>
  <c r="D75" i="3" s="1"/>
  <c r="D72" i="3"/>
  <c r="A71" i="3"/>
  <c r="F69" i="3"/>
  <c r="F102" i="3" s="1"/>
  <c r="D69" i="3"/>
  <c r="D70" i="3" s="1"/>
  <c r="D68" i="3"/>
  <c r="A67" i="3"/>
  <c r="A66" i="3"/>
  <c r="D63" i="3"/>
  <c r="A62" i="3"/>
  <c r="A61" i="3"/>
  <c r="C59" i="3"/>
  <c r="C92" i="3" s="1"/>
  <c r="A59" i="3"/>
  <c r="F56" i="3"/>
  <c r="F89" i="3" s="1"/>
  <c r="D56" i="3"/>
  <c r="D60" i="3" s="1"/>
  <c r="C56" i="3"/>
  <c r="C89" i="3" s="1"/>
  <c r="D53" i="3"/>
  <c r="D52" i="3"/>
  <c r="D51" i="3"/>
  <c r="D54" i="3" s="1"/>
  <c r="D50" i="3"/>
  <c r="O47" i="3"/>
  <c r="P47" i="3" s="1"/>
  <c r="H46" i="3"/>
  <c r="F46" i="3"/>
  <c r="J112" i="3" s="1"/>
  <c r="E46" i="3"/>
  <c r="C46" i="3"/>
  <c r="H45" i="3"/>
  <c r="G45" i="3" s="1"/>
  <c r="F45" i="3"/>
  <c r="E45" i="3"/>
  <c r="C45" i="3"/>
  <c r="H44" i="3"/>
  <c r="F44" i="3"/>
  <c r="F77" i="3" s="1"/>
  <c r="F110" i="3" s="1"/>
  <c r="E44" i="3"/>
  <c r="C44" i="3"/>
  <c r="C77" i="3" s="1"/>
  <c r="C110" i="3" s="1"/>
  <c r="H43" i="3"/>
  <c r="F43" i="3"/>
  <c r="F76" i="3" s="1"/>
  <c r="F109" i="3" s="1"/>
  <c r="E43" i="3"/>
  <c r="C43" i="3"/>
  <c r="C76" i="3" s="1"/>
  <c r="C109" i="3" s="1"/>
  <c r="H42" i="3"/>
  <c r="F42" i="3"/>
  <c r="E42" i="3"/>
  <c r="C42" i="3"/>
  <c r="C75" i="3" s="1"/>
  <c r="C108" i="3" s="1"/>
  <c r="H41" i="3"/>
  <c r="F41" i="3"/>
  <c r="F74" i="3" s="1"/>
  <c r="F107" i="3" s="1"/>
  <c r="E41" i="3"/>
  <c r="C41" i="3"/>
  <c r="C74" i="3" s="1"/>
  <c r="C107" i="3" s="1"/>
  <c r="H40" i="3"/>
  <c r="F40" i="3"/>
  <c r="E40" i="3"/>
  <c r="C40" i="3"/>
  <c r="C73" i="3" s="1"/>
  <c r="C106" i="3" s="1"/>
  <c r="H39" i="3"/>
  <c r="F39" i="3"/>
  <c r="E39" i="3"/>
  <c r="C39" i="3"/>
  <c r="C72" i="3" s="1"/>
  <c r="C105" i="3" s="1"/>
  <c r="H38" i="3"/>
  <c r="G38" i="3" s="1"/>
  <c r="F38" i="3"/>
  <c r="F71" i="3" s="1"/>
  <c r="F104" i="3" s="1"/>
  <c r="E38" i="3"/>
  <c r="C38" i="3"/>
  <c r="H37" i="3"/>
  <c r="F37" i="3"/>
  <c r="F70" i="3" s="1"/>
  <c r="F103" i="3" s="1"/>
  <c r="E37" i="3"/>
  <c r="C37" i="3"/>
  <c r="H36" i="3"/>
  <c r="G36" i="3" s="1"/>
  <c r="F36" i="3"/>
  <c r="E36" i="3"/>
  <c r="C36" i="3"/>
  <c r="C69" i="3" s="1"/>
  <c r="C102" i="3" s="1"/>
  <c r="H35" i="3"/>
  <c r="F35" i="3"/>
  <c r="F68" i="3" s="1"/>
  <c r="F101" i="3" s="1"/>
  <c r="E35" i="3"/>
  <c r="C35" i="3"/>
  <c r="D35" i="3" s="1"/>
  <c r="D101" i="3" s="1"/>
  <c r="H34" i="3"/>
  <c r="F34" i="3"/>
  <c r="F67" i="3" s="1"/>
  <c r="F100" i="3" s="1"/>
  <c r="E34" i="3"/>
  <c r="C34" i="3"/>
  <c r="C67" i="3" s="1"/>
  <c r="C100" i="3" s="1"/>
  <c r="H33" i="3"/>
  <c r="G33" i="3" s="1"/>
  <c r="F33" i="3"/>
  <c r="F66" i="3" s="1"/>
  <c r="F99" i="3" s="1"/>
  <c r="E33" i="3"/>
  <c r="C33" i="3"/>
  <c r="H32" i="3"/>
  <c r="F32" i="3"/>
  <c r="E32" i="3"/>
  <c r="C32" i="3"/>
  <c r="C65" i="3" s="1"/>
  <c r="C98" i="3" s="1"/>
  <c r="H31" i="3"/>
  <c r="F31" i="3"/>
  <c r="E31" i="3"/>
  <c r="C31" i="3"/>
  <c r="C64" i="3" s="1"/>
  <c r="C97" i="3" s="1"/>
  <c r="H30" i="3"/>
  <c r="F30" i="3"/>
  <c r="E30" i="3"/>
  <c r="C30" i="3"/>
  <c r="D30" i="3" s="1"/>
  <c r="D96" i="3" s="1"/>
  <c r="H29" i="3"/>
  <c r="F29" i="3"/>
  <c r="E29" i="3"/>
  <c r="C29" i="3"/>
  <c r="C62" i="3" s="1"/>
  <c r="C95" i="3" s="1"/>
  <c r="H28" i="3"/>
  <c r="F28" i="3"/>
  <c r="E28" i="3"/>
  <c r="C28" i="3"/>
  <c r="C61" i="3" s="1"/>
  <c r="C94" i="3" s="1"/>
  <c r="H27" i="3"/>
  <c r="F27" i="3"/>
  <c r="F60" i="3" s="1"/>
  <c r="F93" i="3" s="1"/>
  <c r="E27" i="3"/>
  <c r="C27" i="3"/>
  <c r="C60" i="3" s="1"/>
  <c r="C93" i="3" s="1"/>
  <c r="H26" i="3"/>
  <c r="F26" i="3"/>
  <c r="E26" i="3"/>
  <c r="C26" i="3"/>
  <c r="H25" i="3"/>
  <c r="F25" i="3"/>
  <c r="E25" i="3"/>
  <c r="C25" i="3"/>
  <c r="C58" i="3" s="1"/>
  <c r="C91" i="3" s="1"/>
  <c r="H24" i="3"/>
  <c r="F24" i="3"/>
  <c r="E24" i="3"/>
  <c r="C24" i="3"/>
  <c r="H23" i="3"/>
  <c r="F23" i="3"/>
  <c r="E23" i="3"/>
  <c r="C23" i="3"/>
  <c r="D23" i="3" s="1"/>
  <c r="H22" i="3"/>
  <c r="F22" i="3"/>
  <c r="F55" i="3" s="1"/>
  <c r="F88" i="3" s="1"/>
  <c r="E22" i="3"/>
  <c r="C22" i="3"/>
  <c r="H21" i="3"/>
  <c r="F21" i="3"/>
  <c r="E21" i="3"/>
  <c r="C21" i="3"/>
  <c r="C54" i="3" s="1"/>
  <c r="H20" i="3"/>
  <c r="F20" i="3"/>
  <c r="E20" i="3"/>
  <c r="C20" i="3"/>
  <c r="C53" i="3" s="1"/>
  <c r="C86" i="3" s="1"/>
  <c r="H19" i="3"/>
  <c r="F19" i="3"/>
  <c r="E19" i="3"/>
  <c r="C19" i="3"/>
  <c r="C52" i="3" s="1"/>
  <c r="H18" i="3"/>
  <c r="G18" i="3" s="1"/>
  <c r="F18" i="3"/>
  <c r="F51" i="3" s="1"/>
  <c r="F84" i="3" s="1"/>
  <c r="E18" i="3"/>
  <c r="C18" i="3"/>
  <c r="C51" i="3" s="1"/>
  <c r="C84" i="3" s="1"/>
  <c r="H17" i="3"/>
  <c r="F17" i="3"/>
  <c r="E17" i="3"/>
  <c r="C17" i="3"/>
  <c r="C50" i="3" s="1"/>
  <c r="C83" i="3" s="1"/>
  <c r="F14" i="3"/>
  <c r="C13" i="3"/>
  <c r="B13" i="3"/>
  <c r="F11" i="3"/>
  <c r="C11" i="3" s="1"/>
  <c r="F10" i="3"/>
  <c r="F9" i="3"/>
  <c r="F8" i="3"/>
  <c r="F7" i="3"/>
  <c r="F6" i="3"/>
  <c r="F5" i="3"/>
  <c r="F4" i="3"/>
  <c r="C3" i="3"/>
  <c r="B3" i="3"/>
  <c r="H50" i="9" l="1"/>
  <c r="D18" i="9"/>
  <c r="D33" i="9"/>
  <c r="D45" i="9"/>
  <c r="D41" i="9"/>
  <c r="G17" i="9"/>
  <c r="D20" i="9"/>
  <c r="D29" i="9"/>
  <c r="G18" i="9"/>
  <c r="G45" i="9"/>
  <c r="O45" i="9" s="1"/>
  <c r="P45" i="9" s="1"/>
  <c r="G34" i="9"/>
  <c r="G40" i="9"/>
  <c r="G46" i="9"/>
  <c r="D46" i="9" s="1"/>
  <c r="D21" i="9"/>
  <c r="D32" i="9"/>
  <c r="G44" i="9"/>
  <c r="D44" i="9" s="1"/>
  <c r="K44" i="9" s="1"/>
  <c r="M44" i="9" s="1"/>
  <c r="D30" i="9"/>
  <c r="D36" i="9"/>
  <c r="G27" i="9"/>
  <c r="D27" i="9" s="1"/>
  <c r="G36" i="9"/>
  <c r="D22" i="9"/>
  <c r="G26" i="9"/>
  <c r="G38" i="9"/>
  <c r="D34" i="9"/>
  <c r="G28" i="9"/>
  <c r="G35" i="9"/>
  <c r="D38" i="9"/>
  <c r="G21" i="9"/>
  <c r="G29" i="9"/>
  <c r="K29" i="9" s="1"/>
  <c r="M29" i="9" s="1"/>
  <c r="D24" i="9"/>
  <c r="G31" i="9"/>
  <c r="D39" i="9"/>
  <c r="G41" i="9"/>
  <c r="L41" i="9" s="1"/>
  <c r="M41" i="9" s="1"/>
  <c r="G22" i="9"/>
  <c r="O27" i="9"/>
  <c r="P27" i="9" s="1"/>
  <c r="G32" i="9"/>
  <c r="O32" i="9" s="1"/>
  <c r="P32" i="9" s="1"/>
  <c r="D17" i="9"/>
  <c r="D19" i="9"/>
  <c r="H48" i="9"/>
  <c r="G25" i="9"/>
  <c r="G37" i="9"/>
  <c r="G24" i="9"/>
  <c r="O18" i="9"/>
  <c r="P18" i="9" s="1"/>
  <c r="K18" i="9"/>
  <c r="M18" i="9" s="1"/>
  <c r="L47" i="9"/>
  <c r="M47" i="9" s="1"/>
  <c r="C48" i="9"/>
  <c r="C14" i="9" s="1"/>
  <c r="D23" i="9"/>
  <c r="G30" i="9"/>
  <c r="D37" i="9"/>
  <c r="G39" i="9"/>
  <c r="D43" i="9"/>
  <c r="G19" i="9"/>
  <c r="G42" i="9"/>
  <c r="D26" i="9"/>
  <c r="G20" i="9"/>
  <c r="D28" i="9"/>
  <c r="F48" i="9"/>
  <c r="D35" i="9"/>
  <c r="D31" i="9"/>
  <c r="G43" i="9"/>
  <c r="G23" i="9"/>
  <c r="D25" i="9"/>
  <c r="D40" i="9"/>
  <c r="G33" i="9"/>
  <c r="D42" i="9"/>
  <c r="E48" i="9"/>
  <c r="H17" i="8"/>
  <c r="J13" i="8"/>
  <c r="E17" i="8"/>
  <c r="J9" i="8"/>
  <c r="I7" i="8"/>
  <c r="J7" i="8" s="1"/>
  <c r="I10" i="8"/>
  <c r="J10" i="8" s="1"/>
  <c r="I14" i="8"/>
  <c r="J14" i="8" s="1"/>
  <c r="O51" i="7"/>
  <c r="J11" i="6"/>
  <c r="J14" i="6"/>
  <c r="J8" i="6"/>
  <c r="J12" i="6"/>
  <c r="J9" i="6"/>
  <c r="J17" i="6"/>
  <c r="J13" i="6"/>
  <c r="J10" i="6"/>
  <c r="D22" i="3"/>
  <c r="D37" i="3"/>
  <c r="D103" i="3" s="1"/>
  <c r="G40" i="3"/>
  <c r="D29" i="3"/>
  <c r="Q47" i="3"/>
  <c r="G43" i="3"/>
  <c r="G17" i="3"/>
  <c r="O17" i="3" s="1"/>
  <c r="P17" i="3" s="1"/>
  <c r="J89" i="3"/>
  <c r="K89" i="3" s="1"/>
  <c r="J95" i="3"/>
  <c r="F62" i="3"/>
  <c r="F95" i="3" s="1"/>
  <c r="J120" i="3"/>
  <c r="G28" i="3"/>
  <c r="L28" i="3" s="1"/>
  <c r="M28" i="3" s="1"/>
  <c r="D17" i="3"/>
  <c r="C63" i="3"/>
  <c r="C96" i="3" s="1"/>
  <c r="J128" i="3"/>
  <c r="E63" i="3"/>
  <c r="E96" i="3" s="1"/>
  <c r="E80" i="3"/>
  <c r="E113" i="3" s="1"/>
  <c r="D21" i="3"/>
  <c r="D87" i="3" s="1"/>
  <c r="D39" i="3"/>
  <c r="D105" i="3" s="1"/>
  <c r="K105" i="3" s="1"/>
  <c r="J133" i="3"/>
  <c r="G24" i="3"/>
  <c r="J102" i="3"/>
  <c r="J105" i="3"/>
  <c r="J122" i="3"/>
  <c r="D19" i="3"/>
  <c r="D85" i="3" s="1"/>
  <c r="J116" i="3"/>
  <c r="G39" i="3"/>
  <c r="J85" i="3"/>
  <c r="K85" i="3" s="1"/>
  <c r="J96" i="3"/>
  <c r="D40" i="3"/>
  <c r="D106" i="3" s="1"/>
  <c r="J94" i="3"/>
  <c r="D61" i="3"/>
  <c r="E61" i="3" s="1"/>
  <c r="E94" i="3" s="1"/>
  <c r="C68" i="3"/>
  <c r="C101" i="3" s="1"/>
  <c r="J131" i="3"/>
  <c r="G37" i="3"/>
  <c r="G44" i="3"/>
  <c r="D44" i="3" s="1"/>
  <c r="F57" i="3"/>
  <c r="F90" i="3" s="1"/>
  <c r="F79" i="3"/>
  <c r="F112" i="3" s="1"/>
  <c r="D25" i="3"/>
  <c r="K14" i="3"/>
  <c r="F61" i="3"/>
  <c r="F94" i="3" s="1"/>
  <c r="D32" i="3"/>
  <c r="I175" i="3"/>
  <c r="F12" i="3" s="1"/>
  <c r="D57" i="3"/>
  <c r="D58" i="3" s="1"/>
  <c r="G41" i="3"/>
  <c r="J98" i="3"/>
  <c r="F65" i="3"/>
  <c r="F98" i="3" s="1"/>
  <c r="J130" i="3"/>
  <c r="C10" i="3"/>
  <c r="D38" i="3"/>
  <c r="O38" i="3" s="1"/>
  <c r="P38" i="3" s="1"/>
  <c r="F72" i="3"/>
  <c r="F105" i="3" s="1"/>
  <c r="J134" i="3"/>
  <c r="G29" i="3"/>
  <c r="O29" i="3" s="1"/>
  <c r="P29" i="3" s="1"/>
  <c r="G27" i="3"/>
  <c r="D27" i="3" s="1"/>
  <c r="D93" i="3" s="1"/>
  <c r="D42" i="3"/>
  <c r="D108" i="3" s="1"/>
  <c r="D20" i="3"/>
  <c r="D86" i="3" s="1"/>
  <c r="G46" i="3"/>
  <c r="D46" i="3" s="1"/>
  <c r="I121" i="3"/>
  <c r="G34" i="3"/>
  <c r="K13" i="3"/>
  <c r="G22" i="3"/>
  <c r="K22" i="3" s="1"/>
  <c r="M22" i="3" s="1"/>
  <c r="D89" i="3"/>
  <c r="D28" i="3"/>
  <c r="G35" i="3"/>
  <c r="L35" i="3" s="1"/>
  <c r="M35" i="3" s="1"/>
  <c r="E50" i="3"/>
  <c r="E83" i="3" s="1"/>
  <c r="H182" i="3"/>
  <c r="D32" i="4"/>
  <c r="J101" i="4"/>
  <c r="E76" i="4"/>
  <c r="E109" i="4" s="1"/>
  <c r="L47" i="4"/>
  <c r="M47" i="4" s="1"/>
  <c r="Q47" i="4" s="1"/>
  <c r="J112" i="4"/>
  <c r="G35" i="4"/>
  <c r="D66" i="4"/>
  <c r="E66" i="4" s="1"/>
  <c r="E99" i="4" s="1"/>
  <c r="C65" i="4"/>
  <c r="C98" i="4" s="1"/>
  <c r="D28" i="4"/>
  <c r="E55" i="4"/>
  <c r="E88" i="4" s="1"/>
  <c r="J103" i="4"/>
  <c r="D57" i="4"/>
  <c r="D58" i="4" s="1"/>
  <c r="D20" i="4"/>
  <c r="D86" i="4" s="1"/>
  <c r="G46" i="4"/>
  <c r="D46" i="4" s="1"/>
  <c r="D78" i="4"/>
  <c r="E78" i="4" s="1"/>
  <c r="E111" i="4" s="1"/>
  <c r="A59" i="4"/>
  <c r="K113" i="4"/>
  <c r="G38" i="4"/>
  <c r="J107" i="4"/>
  <c r="D61" i="4"/>
  <c r="E61" i="4" s="1"/>
  <c r="E94" i="4" s="1"/>
  <c r="C79" i="4"/>
  <c r="C112" i="4" s="1"/>
  <c r="G24" i="4"/>
  <c r="G27" i="4"/>
  <c r="D34" i="4"/>
  <c r="D45" i="4"/>
  <c r="K13" i="4"/>
  <c r="J98" i="4"/>
  <c r="D35" i="4"/>
  <c r="D101" i="4" s="1"/>
  <c r="G40" i="4"/>
  <c r="D73" i="4"/>
  <c r="E73" i="4" s="1"/>
  <c r="E106" i="4" s="1"/>
  <c r="D30" i="4"/>
  <c r="D96" i="4" s="1"/>
  <c r="G19" i="4"/>
  <c r="G26" i="4"/>
  <c r="G42" i="4"/>
  <c r="D40" i="4"/>
  <c r="E70" i="4"/>
  <c r="E103" i="4" s="1"/>
  <c r="D43" i="4"/>
  <c r="D109" i="4" s="1"/>
  <c r="G29" i="4"/>
  <c r="J106" i="4"/>
  <c r="J96" i="4"/>
  <c r="G33" i="4"/>
  <c r="C84" i="4"/>
  <c r="E51" i="4"/>
  <c r="E84" i="4" s="1"/>
  <c r="D26" i="4"/>
  <c r="D31" i="4"/>
  <c r="D97" i="4" s="1"/>
  <c r="D37" i="4"/>
  <c r="D103" i="4" s="1"/>
  <c r="J99" i="4"/>
  <c r="F54" i="4"/>
  <c r="F87" i="4" s="1"/>
  <c r="J87" i="4"/>
  <c r="J110" i="4"/>
  <c r="G44" i="4"/>
  <c r="D18" i="4"/>
  <c r="D84" i="4" s="1"/>
  <c r="D33" i="4"/>
  <c r="G41" i="4"/>
  <c r="J84" i="4"/>
  <c r="J92" i="4"/>
  <c r="C59" i="4"/>
  <c r="C92" i="4" s="1"/>
  <c r="D38" i="4"/>
  <c r="D65" i="4"/>
  <c r="E64" i="4"/>
  <c r="E97" i="4" s="1"/>
  <c r="E68" i="4"/>
  <c r="E101" i="4" s="1"/>
  <c r="C48" i="4"/>
  <c r="C50" i="4"/>
  <c r="E50" i="4" s="1"/>
  <c r="E83" i="4" s="1"/>
  <c r="D17" i="4"/>
  <c r="D83" i="4" s="1"/>
  <c r="E72" i="4"/>
  <c r="E105" i="4" s="1"/>
  <c r="E80" i="4"/>
  <c r="E113" i="4" s="1"/>
  <c r="J86" i="4"/>
  <c r="G20" i="4"/>
  <c r="D25" i="4"/>
  <c r="J88" i="4"/>
  <c r="G22" i="4"/>
  <c r="F61" i="4"/>
  <c r="F94" i="4" s="1"/>
  <c r="J94" i="4"/>
  <c r="J91" i="4"/>
  <c r="G28" i="4"/>
  <c r="F70" i="4"/>
  <c r="F103" i="4" s="1"/>
  <c r="G37" i="4"/>
  <c r="D39" i="4"/>
  <c r="D105" i="4" s="1"/>
  <c r="F78" i="4"/>
  <c r="F111" i="4" s="1"/>
  <c r="J111" i="4"/>
  <c r="J104" i="4"/>
  <c r="D19" i="4"/>
  <c r="D85" i="4" s="1"/>
  <c r="D24" i="4"/>
  <c r="G25" i="4"/>
  <c r="J105" i="4"/>
  <c r="F72" i="4"/>
  <c r="F105" i="4" s="1"/>
  <c r="G45" i="4"/>
  <c r="E52" i="4"/>
  <c r="E85" i="4" s="1"/>
  <c r="C54" i="4"/>
  <c r="C87" i="4" s="1"/>
  <c r="D21" i="4"/>
  <c r="D87" i="4" s="1"/>
  <c r="J100" i="4"/>
  <c r="C74" i="4"/>
  <c r="D41" i="4"/>
  <c r="D107" i="4" s="1"/>
  <c r="E48" i="4"/>
  <c r="F74" i="4"/>
  <c r="F107" i="4" s="1"/>
  <c r="F60" i="4"/>
  <c r="F93" i="4" s="1"/>
  <c r="J93" i="4"/>
  <c r="D36" i="4"/>
  <c r="D102" i="4" s="1"/>
  <c r="H48" i="4"/>
  <c r="F69" i="4"/>
  <c r="F102" i="4" s="1"/>
  <c r="J102" i="4"/>
  <c r="G21" i="4"/>
  <c r="G36" i="4"/>
  <c r="D23" i="4"/>
  <c r="D89" i="4" s="1"/>
  <c r="J95" i="4"/>
  <c r="C62" i="4"/>
  <c r="C95" i="4" s="1"/>
  <c r="F64" i="4"/>
  <c r="F97" i="4" s="1"/>
  <c r="J97" i="4"/>
  <c r="J108" i="4"/>
  <c r="C75" i="4"/>
  <c r="E56" i="4"/>
  <c r="E89" i="4" s="1"/>
  <c r="A60" i="4"/>
  <c r="D60" i="4" s="1"/>
  <c r="E60" i="4" s="1"/>
  <c r="E93" i="4" s="1"/>
  <c r="D62" i="4"/>
  <c r="E63" i="4"/>
  <c r="E96" i="4" s="1"/>
  <c r="F48" i="4"/>
  <c r="J83" i="4"/>
  <c r="F50" i="4"/>
  <c r="J89" i="4"/>
  <c r="F56" i="4"/>
  <c r="F89" i="4" s="1"/>
  <c r="D29" i="4"/>
  <c r="G31" i="4"/>
  <c r="G32" i="4"/>
  <c r="D42" i="4"/>
  <c r="J109" i="4"/>
  <c r="F76" i="4"/>
  <c r="F109" i="4" s="1"/>
  <c r="F63" i="4"/>
  <c r="F96" i="4" s="1"/>
  <c r="G17" i="4"/>
  <c r="G18" i="4"/>
  <c r="D22" i="4"/>
  <c r="D88" i="4" s="1"/>
  <c r="G23" i="4"/>
  <c r="K14" i="4"/>
  <c r="G30" i="4"/>
  <c r="G43" i="4"/>
  <c r="J85" i="4"/>
  <c r="C69" i="4"/>
  <c r="E53" i="4"/>
  <c r="E86" i="4" s="1"/>
  <c r="J90" i="4"/>
  <c r="G34" i="4"/>
  <c r="G39" i="4"/>
  <c r="D67" i="4"/>
  <c r="E67" i="4" s="1"/>
  <c r="E100" i="4" s="1"/>
  <c r="D71" i="4"/>
  <c r="C66" i="3"/>
  <c r="C99" i="3" s="1"/>
  <c r="J99" i="3"/>
  <c r="D33" i="3"/>
  <c r="E93" i="3"/>
  <c r="D26" i="3"/>
  <c r="F58" i="3"/>
  <c r="F91" i="3" s="1"/>
  <c r="G25" i="3"/>
  <c r="J91" i="3"/>
  <c r="J86" i="3"/>
  <c r="G20" i="3"/>
  <c r="F53" i="3"/>
  <c r="F86" i="3" s="1"/>
  <c r="C87" i="3"/>
  <c r="E54" i="3"/>
  <c r="E87" i="3" s="1"/>
  <c r="J87" i="3"/>
  <c r="F54" i="3"/>
  <c r="F87" i="3" s="1"/>
  <c r="D31" i="3"/>
  <c r="L37" i="3"/>
  <c r="M37" i="3" s="1"/>
  <c r="O37" i="3"/>
  <c r="P37" i="3" s="1"/>
  <c r="C85" i="3"/>
  <c r="E52" i="3"/>
  <c r="C78" i="3"/>
  <c r="C111" i="3" s="1"/>
  <c r="D45" i="3"/>
  <c r="D83" i="3"/>
  <c r="G31" i="3"/>
  <c r="C71" i="3"/>
  <c r="C104" i="3" s="1"/>
  <c r="J104" i="3"/>
  <c r="J111" i="3"/>
  <c r="J90" i="3"/>
  <c r="J84" i="3"/>
  <c r="H126" i="3"/>
  <c r="G21" i="3"/>
  <c r="E84" i="3"/>
  <c r="C48" i="3"/>
  <c r="D88" i="3"/>
  <c r="O44" i="3"/>
  <c r="P44" i="3" s="1"/>
  <c r="E68" i="3"/>
  <c r="E101" i="3" s="1"/>
  <c r="D71" i="3"/>
  <c r="D73" i="3"/>
  <c r="E73" i="3" s="1"/>
  <c r="J101" i="3"/>
  <c r="D113" i="3"/>
  <c r="J129" i="3"/>
  <c r="J92" i="3"/>
  <c r="F59" i="3"/>
  <c r="F92" i="3" s="1"/>
  <c r="D34" i="3"/>
  <c r="E69" i="3"/>
  <c r="E102" i="3" s="1"/>
  <c r="E72" i="3"/>
  <c r="E105" i="3" s="1"/>
  <c r="I182" i="3"/>
  <c r="K113" i="3"/>
  <c r="G26" i="3"/>
  <c r="E51" i="3"/>
  <c r="C70" i="3"/>
  <c r="C103" i="3" s="1"/>
  <c r="G19" i="3"/>
  <c r="G30" i="3"/>
  <c r="G32" i="3"/>
  <c r="J110" i="3"/>
  <c r="E75" i="3"/>
  <c r="E108" i="3" s="1"/>
  <c r="F50" i="3"/>
  <c r="J83" i="3"/>
  <c r="E74" i="3"/>
  <c r="E107" i="3" s="1"/>
  <c r="D78" i="3"/>
  <c r="J124" i="3"/>
  <c r="E126" i="3"/>
  <c r="J118" i="3"/>
  <c r="E48" i="3"/>
  <c r="E56" i="3"/>
  <c r="E89" i="3" s="1"/>
  <c r="E60" i="3"/>
  <c r="D67" i="3"/>
  <c r="E67" i="3" s="1"/>
  <c r="E100" i="3" s="1"/>
  <c r="J93" i="3"/>
  <c r="F64" i="3"/>
  <c r="F97" i="3" s="1"/>
  <c r="J97" i="3"/>
  <c r="H48" i="3"/>
  <c r="D41" i="3"/>
  <c r="J108" i="3"/>
  <c r="F75" i="3"/>
  <c r="F108" i="3" s="1"/>
  <c r="G42" i="3"/>
  <c r="F48" i="3"/>
  <c r="D62" i="3"/>
  <c r="E62" i="3" s="1"/>
  <c r="E95" i="3" s="1"/>
  <c r="D64" i="3"/>
  <c r="J103" i="3"/>
  <c r="J121" i="3"/>
  <c r="G23" i="3"/>
  <c r="H150" i="3"/>
  <c r="D18" i="3"/>
  <c r="E106" i="3"/>
  <c r="F52" i="3"/>
  <c r="F85" i="3" s="1"/>
  <c r="J132" i="3"/>
  <c r="D43" i="3"/>
  <c r="D36" i="3"/>
  <c r="C55" i="3"/>
  <c r="C88" i="3" s="1"/>
  <c r="J88" i="3"/>
  <c r="F73" i="3"/>
  <c r="F106" i="3" s="1"/>
  <c r="J106" i="3"/>
  <c r="J107" i="3"/>
  <c r="K44" i="3"/>
  <c r="M44" i="3" s="1"/>
  <c r="E53" i="3"/>
  <c r="E86" i="3" s="1"/>
  <c r="C57" i="3"/>
  <c r="C90" i="3" s="1"/>
  <c r="F63" i="3"/>
  <c r="F96" i="3" s="1"/>
  <c r="D76" i="3"/>
  <c r="E76" i="3" s="1"/>
  <c r="E109" i="3" s="1"/>
  <c r="J100" i="3"/>
  <c r="J109" i="3"/>
  <c r="D66" i="3"/>
  <c r="D55" i="3"/>
  <c r="D24" i="3"/>
  <c r="I119" i="3"/>
  <c r="J119" i="3" s="1"/>
  <c r="Q29" i="9" l="1"/>
  <c r="K34" i="9"/>
  <c r="M34" i="9" s="1"/>
  <c r="Q34" i="9" s="1"/>
  <c r="L45" i="9"/>
  <c r="M45" i="9" s="1"/>
  <c r="O29" i="9"/>
  <c r="P29" i="9" s="1"/>
  <c r="O34" i="9"/>
  <c r="P34" i="9" s="1"/>
  <c r="L21" i="9"/>
  <c r="M21" i="9" s="1"/>
  <c r="O21" i="9"/>
  <c r="P21" i="9" s="1"/>
  <c r="O41" i="9"/>
  <c r="P41" i="9" s="1"/>
  <c r="Q41" i="9" s="1"/>
  <c r="L27" i="9"/>
  <c r="M27" i="9" s="1"/>
  <c r="Q27" i="9" s="1"/>
  <c r="K17" i="9"/>
  <c r="M17" i="9" s="1"/>
  <c r="O22" i="9"/>
  <c r="P22" i="9" s="1"/>
  <c r="L24" i="9"/>
  <c r="M24" i="9" s="1"/>
  <c r="O36" i="9"/>
  <c r="P36" i="9" s="1"/>
  <c r="Q36" i="9" s="1"/>
  <c r="O17" i="9"/>
  <c r="P17" i="9" s="1"/>
  <c r="L26" i="9"/>
  <c r="M26" i="9" s="1"/>
  <c r="L35" i="9"/>
  <c r="M35" i="9" s="1"/>
  <c r="L36" i="9"/>
  <c r="M36" i="9" s="1"/>
  <c r="L25" i="9"/>
  <c r="M25" i="9" s="1"/>
  <c r="G48" i="9"/>
  <c r="K22" i="9"/>
  <c r="M22" i="9" s="1"/>
  <c r="O38" i="9"/>
  <c r="P38" i="9" s="1"/>
  <c r="H14" i="9"/>
  <c r="O35" i="9"/>
  <c r="P35" i="9" s="1"/>
  <c r="L32" i="9"/>
  <c r="M32" i="9" s="1"/>
  <c r="Q32" i="9" s="1"/>
  <c r="G50" i="9"/>
  <c r="G51" i="9" s="1"/>
  <c r="H51" i="9" s="1"/>
  <c r="J51" i="9" s="1"/>
  <c r="O24" i="9"/>
  <c r="P24" i="9" s="1"/>
  <c r="K38" i="9"/>
  <c r="M38" i="9" s="1"/>
  <c r="L23" i="9"/>
  <c r="M23" i="9" s="1"/>
  <c r="O23" i="9"/>
  <c r="P23" i="9" s="1"/>
  <c r="J50" i="9"/>
  <c r="O43" i="9"/>
  <c r="P43" i="9" s="1"/>
  <c r="L43" i="9"/>
  <c r="M43" i="9" s="1"/>
  <c r="O19" i="9"/>
  <c r="P19" i="9" s="1"/>
  <c r="K19" i="9"/>
  <c r="M19" i="9" s="1"/>
  <c r="O33" i="9"/>
  <c r="P33" i="9" s="1"/>
  <c r="L33" i="9"/>
  <c r="M33" i="9" s="1"/>
  <c r="O28" i="9"/>
  <c r="P28" i="9" s="1"/>
  <c r="L37" i="9"/>
  <c r="M37" i="9" s="1"/>
  <c r="Q45" i="9"/>
  <c r="O37" i="9"/>
  <c r="P37" i="9" s="1"/>
  <c r="D48" i="9"/>
  <c r="E14" i="9"/>
  <c r="L31" i="9"/>
  <c r="M31" i="9" s="1"/>
  <c r="O42" i="9"/>
  <c r="P42" i="9" s="1"/>
  <c r="L42" i="9"/>
  <c r="M42" i="9" s="1"/>
  <c r="L39" i="9"/>
  <c r="M39" i="9" s="1"/>
  <c r="O39" i="9"/>
  <c r="P39" i="9" s="1"/>
  <c r="O25" i="9"/>
  <c r="P25" i="9" s="1"/>
  <c r="O26" i="9"/>
  <c r="P26" i="9" s="1"/>
  <c r="O31" i="9"/>
  <c r="P31" i="9" s="1"/>
  <c r="L40" i="9"/>
  <c r="M40" i="9" s="1"/>
  <c r="O40" i="9"/>
  <c r="P40" i="9" s="1"/>
  <c r="O30" i="9"/>
  <c r="P30" i="9" s="1"/>
  <c r="L30" i="9"/>
  <c r="M30" i="9" s="1"/>
  <c r="L46" i="9"/>
  <c r="M46" i="9" s="1"/>
  <c r="O113" i="9"/>
  <c r="J37" i="9"/>
  <c r="J25" i="9"/>
  <c r="J36" i="9"/>
  <c r="J24" i="9"/>
  <c r="J46" i="9"/>
  <c r="J34" i="9"/>
  <c r="J22" i="9"/>
  <c r="J45" i="9"/>
  <c r="J33" i="9"/>
  <c r="J21" i="9"/>
  <c r="J44" i="9"/>
  <c r="J32" i="9"/>
  <c r="J20" i="9"/>
  <c r="J47" i="9"/>
  <c r="J27" i="9"/>
  <c r="J43" i="9"/>
  <c r="J23" i="9"/>
  <c r="J17" i="9"/>
  <c r="J42" i="9"/>
  <c r="J35" i="9"/>
  <c r="J19" i="9"/>
  <c r="J30" i="9"/>
  <c r="J28" i="9"/>
  <c r="J29" i="9"/>
  <c r="J38" i="9"/>
  <c r="F13" i="9"/>
  <c r="J40" i="9"/>
  <c r="J31" i="9"/>
  <c r="J39" i="9"/>
  <c r="J41" i="9"/>
  <c r="J18" i="9"/>
  <c r="J26" i="9"/>
  <c r="O46" i="9"/>
  <c r="P46" i="9" s="1"/>
  <c r="Q47" i="9"/>
  <c r="Q21" i="9"/>
  <c r="O44" i="9"/>
  <c r="P44" i="9" s="1"/>
  <c r="Q44" i="9" s="1"/>
  <c r="L20" i="9"/>
  <c r="M20" i="9" s="1"/>
  <c r="O20" i="9"/>
  <c r="P20" i="9" s="1"/>
  <c r="Q18" i="9"/>
  <c r="L28" i="9"/>
  <c r="M28" i="9" s="1"/>
  <c r="J17" i="8"/>
  <c r="I17" i="8"/>
  <c r="O62" i="8"/>
  <c r="J25" i="6"/>
  <c r="O60" i="6"/>
  <c r="D97" i="3"/>
  <c r="L46" i="3"/>
  <c r="M46" i="3" s="1"/>
  <c r="K29" i="3"/>
  <c r="M29" i="3" s="1"/>
  <c r="Q29" i="3"/>
  <c r="J126" i="3"/>
  <c r="D90" i="3"/>
  <c r="K90" i="3" s="1"/>
  <c r="O27" i="3"/>
  <c r="P27" i="3" s="1"/>
  <c r="L27" i="3"/>
  <c r="M27" i="3" s="1"/>
  <c r="O46" i="3"/>
  <c r="P46" i="3" s="1"/>
  <c r="C114" i="3"/>
  <c r="K17" i="3"/>
  <c r="M17" i="3" s="1"/>
  <c r="Q17" i="3" s="1"/>
  <c r="D94" i="3"/>
  <c r="E78" i="3"/>
  <c r="E111" i="3" s="1"/>
  <c r="O40" i="3"/>
  <c r="P40" i="3" s="1"/>
  <c r="Q37" i="3"/>
  <c r="I126" i="3"/>
  <c r="O22" i="3"/>
  <c r="P22" i="3" s="1"/>
  <c r="E57" i="3"/>
  <c r="E90" i="3" s="1"/>
  <c r="E70" i="3"/>
  <c r="E103" i="3" s="1"/>
  <c r="D95" i="3"/>
  <c r="K95" i="3" s="1"/>
  <c r="K94" i="3"/>
  <c r="E55" i="3"/>
  <c r="E88" i="3" s="1"/>
  <c r="Q44" i="3"/>
  <c r="D91" i="3"/>
  <c r="K91" i="3" s="1"/>
  <c r="E66" i="3"/>
  <c r="E99" i="3" s="1"/>
  <c r="Q46" i="3"/>
  <c r="O35" i="3"/>
  <c r="P35" i="3" s="1"/>
  <c r="Q35" i="3" s="1"/>
  <c r="K96" i="3"/>
  <c r="L39" i="3"/>
  <c r="M39" i="3" s="1"/>
  <c r="O39" i="3"/>
  <c r="P39" i="3" s="1"/>
  <c r="Q39" i="3" s="1"/>
  <c r="L40" i="3"/>
  <c r="M40" i="3" s="1"/>
  <c r="O24" i="3"/>
  <c r="P24" i="3" s="1"/>
  <c r="L41" i="3"/>
  <c r="M41" i="3" s="1"/>
  <c r="O28" i="3"/>
  <c r="P28" i="3" s="1"/>
  <c r="Q28" i="3" s="1"/>
  <c r="K38" i="3"/>
  <c r="M38" i="3" s="1"/>
  <c r="Q38" i="3" s="1"/>
  <c r="O38" i="4"/>
  <c r="P38" i="4" s="1"/>
  <c r="K107" i="4"/>
  <c r="D94" i="4"/>
  <c r="K103" i="4"/>
  <c r="K101" i="4"/>
  <c r="L46" i="4"/>
  <c r="M46" i="4" s="1"/>
  <c r="O46" i="4"/>
  <c r="P46" i="4" s="1"/>
  <c r="D90" i="4"/>
  <c r="K90" i="4" s="1"/>
  <c r="O40" i="4"/>
  <c r="P40" i="4" s="1"/>
  <c r="Q40" i="4" s="1"/>
  <c r="K96" i="4"/>
  <c r="D27" i="4"/>
  <c r="O27" i="4" s="1"/>
  <c r="P27" i="4" s="1"/>
  <c r="O19" i="4"/>
  <c r="P19" i="4" s="1"/>
  <c r="L40" i="4"/>
  <c r="M40" i="4" s="1"/>
  <c r="L35" i="4"/>
  <c r="M35" i="4" s="1"/>
  <c r="O35" i="4"/>
  <c r="P35" i="4" s="1"/>
  <c r="D111" i="4"/>
  <c r="K111" i="4" s="1"/>
  <c r="E57" i="4"/>
  <c r="E90" i="4" s="1"/>
  <c r="D91" i="4"/>
  <c r="O26" i="4"/>
  <c r="P26" i="4" s="1"/>
  <c r="K85" i="4"/>
  <c r="D106" i="4"/>
  <c r="K106" i="4" s="1"/>
  <c r="K19" i="4"/>
  <c r="M19" i="4" s="1"/>
  <c r="O42" i="4"/>
  <c r="P42" i="4" s="1"/>
  <c r="K97" i="4"/>
  <c r="O32" i="4"/>
  <c r="P32" i="4" s="1"/>
  <c r="L32" i="4"/>
  <c r="M32" i="4" s="1"/>
  <c r="O25" i="4"/>
  <c r="P25" i="4" s="1"/>
  <c r="L25" i="4"/>
  <c r="M25" i="4" s="1"/>
  <c r="O31" i="4"/>
  <c r="P31" i="4" s="1"/>
  <c r="L31" i="4"/>
  <c r="M31" i="4" s="1"/>
  <c r="L24" i="4"/>
  <c r="M24" i="4" s="1"/>
  <c r="O17" i="4"/>
  <c r="P17" i="4" s="1"/>
  <c r="K17" i="4"/>
  <c r="M17" i="4" s="1"/>
  <c r="K87" i="4"/>
  <c r="K34" i="4"/>
  <c r="M34" i="4" s="1"/>
  <c r="O34" i="4"/>
  <c r="P34" i="4" s="1"/>
  <c r="D104" i="4"/>
  <c r="K104" i="4" s="1"/>
  <c r="K109" i="4"/>
  <c r="O36" i="4"/>
  <c r="P36" i="4" s="1"/>
  <c r="L36" i="4"/>
  <c r="M36" i="4" s="1"/>
  <c r="K94" i="4"/>
  <c r="O23" i="4"/>
  <c r="P23" i="4" s="1"/>
  <c r="L23" i="4"/>
  <c r="M23" i="4" s="1"/>
  <c r="K22" i="4"/>
  <c r="M22" i="4" s="1"/>
  <c r="O22" i="4"/>
  <c r="P22" i="4" s="1"/>
  <c r="K84" i="4"/>
  <c r="O18" i="4"/>
  <c r="P18" i="4" s="1"/>
  <c r="K18" i="4"/>
  <c r="M18" i="4" s="1"/>
  <c r="L41" i="4"/>
  <c r="M41" i="4" s="1"/>
  <c r="O41" i="4"/>
  <c r="P41" i="4" s="1"/>
  <c r="D77" i="4"/>
  <c r="E71" i="4"/>
  <c r="E104" i="4" s="1"/>
  <c r="D95" i="4"/>
  <c r="K95" i="4" s="1"/>
  <c r="O29" i="4"/>
  <c r="P29" i="4" s="1"/>
  <c r="K29" i="4"/>
  <c r="M29" i="4" s="1"/>
  <c r="E62" i="4"/>
  <c r="E95" i="4" s="1"/>
  <c r="O37" i="4"/>
  <c r="P37" i="4" s="1"/>
  <c r="L37" i="4"/>
  <c r="M37" i="4" s="1"/>
  <c r="O24" i="4"/>
  <c r="P24" i="4" s="1"/>
  <c r="E65" i="4"/>
  <c r="E98" i="4" s="1"/>
  <c r="D98" i="4"/>
  <c r="K98" i="4" s="1"/>
  <c r="D99" i="4"/>
  <c r="K99" i="4" s="1"/>
  <c r="O33" i="4"/>
  <c r="P33" i="4" s="1"/>
  <c r="O43" i="4"/>
  <c r="P43" i="4" s="1"/>
  <c r="L43" i="4"/>
  <c r="M43" i="4" s="1"/>
  <c r="L28" i="4"/>
  <c r="M28" i="4" s="1"/>
  <c r="O28" i="4"/>
  <c r="P28" i="4" s="1"/>
  <c r="K86" i="4"/>
  <c r="K10" i="4"/>
  <c r="K7" i="4"/>
  <c r="L39" i="4"/>
  <c r="M39" i="4" s="1"/>
  <c r="O39" i="4"/>
  <c r="P39" i="4" s="1"/>
  <c r="C102" i="4"/>
  <c r="E69" i="4"/>
  <c r="E102" i="4" s="1"/>
  <c r="F81" i="4"/>
  <c r="F83" i="4"/>
  <c r="F114" i="4" s="1"/>
  <c r="K102" i="4"/>
  <c r="D59" i="4"/>
  <c r="E59" i="4" s="1"/>
  <c r="E92" i="4" s="1"/>
  <c r="E58" i="4"/>
  <c r="E91" i="4" s="1"/>
  <c r="K6" i="4"/>
  <c r="J114" i="4"/>
  <c r="K83" i="4"/>
  <c r="C108" i="4"/>
  <c r="E75" i="4"/>
  <c r="E108" i="4" s="1"/>
  <c r="D48" i="4"/>
  <c r="E14" i="4"/>
  <c r="K38" i="4"/>
  <c r="M38" i="4" s="1"/>
  <c r="D44" i="4"/>
  <c r="O44" i="4" s="1"/>
  <c r="P44" i="4" s="1"/>
  <c r="O30" i="4"/>
  <c r="P30" i="4" s="1"/>
  <c r="L30" i="4"/>
  <c r="M30" i="4" s="1"/>
  <c r="O145" i="4"/>
  <c r="J42" i="4"/>
  <c r="J26" i="4"/>
  <c r="J25" i="4"/>
  <c r="J18" i="4"/>
  <c r="J45" i="4"/>
  <c r="J39" i="4"/>
  <c r="J34" i="4"/>
  <c r="J28" i="4"/>
  <c r="J23" i="4"/>
  <c r="J44" i="4"/>
  <c r="J36" i="4"/>
  <c r="J31" i="4"/>
  <c r="J21" i="4"/>
  <c r="J20" i="4"/>
  <c r="J19" i="4"/>
  <c r="J43" i="4"/>
  <c r="J32" i="4"/>
  <c r="J47" i="4"/>
  <c r="J35" i="4"/>
  <c r="J24" i="4"/>
  <c r="J37" i="4"/>
  <c r="J46" i="4"/>
  <c r="J41" i="4"/>
  <c r="J30" i="4"/>
  <c r="J22" i="4"/>
  <c r="J40" i="4"/>
  <c r="J17" i="4"/>
  <c r="J33" i="4"/>
  <c r="J29" i="4"/>
  <c r="J27" i="4"/>
  <c r="J38" i="4"/>
  <c r="O45" i="4"/>
  <c r="P45" i="4" s="1"/>
  <c r="L45" i="4"/>
  <c r="M45" i="4" s="1"/>
  <c r="K91" i="4"/>
  <c r="C83" i="4"/>
  <c r="C81" i="4"/>
  <c r="E54" i="4"/>
  <c r="E87" i="4" s="1"/>
  <c r="K105" i="4"/>
  <c r="L42" i="4"/>
  <c r="M42" i="4" s="1"/>
  <c r="D108" i="4"/>
  <c r="K108" i="4" s="1"/>
  <c r="K88" i="4"/>
  <c r="O20" i="4"/>
  <c r="P20" i="4" s="1"/>
  <c r="L20" i="4"/>
  <c r="M20" i="4" s="1"/>
  <c r="L21" i="4"/>
  <c r="M21" i="4" s="1"/>
  <c r="O21" i="4"/>
  <c r="P21" i="4" s="1"/>
  <c r="K89" i="4"/>
  <c r="K11" i="4"/>
  <c r="L33" i="4"/>
  <c r="M33" i="4" s="1"/>
  <c r="H14" i="4"/>
  <c r="G48" i="4"/>
  <c r="C107" i="4"/>
  <c r="E74" i="4"/>
  <c r="E107" i="4" s="1"/>
  <c r="L26" i="4"/>
  <c r="M26" i="4" s="1"/>
  <c r="C14" i="4"/>
  <c r="D100" i="4"/>
  <c r="K100" i="4" s="1"/>
  <c r="E8" i="3"/>
  <c r="C8" i="3" s="1"/>
  <c r="J150" i="3"/>
  <c r="O243" i="3"/>
  <c r="J42" i="3"/>
  <c r="J26" i="3"/>
  <c r="J47" i="3"/>
  <c r="J41" i="3"/>
  <c r="J37" i="3"/>
  <c r="J32" i="3"/>
  <c r="J20" i="3"/>
  <c r="J36" i="3"/>
  <c r="J18" i="3"/>
  <c r="J17" i="3"/>
  <c r="J24" i="3"/>
  <c r="J21" i="3"/>
  <c r="J44" i="3"/>
  <c r="J34" i="3"/>
  <c r="J33" i="3"/>
  <c r="J46" i="3"/>
  <c r="J45" i="3"/>
  <c r="J43" i="3"/>
  <c r="J30" i="3"/>
  <c r="J19" i="3"/>
  <c r="F13" i="3"/>
  <c r="J31" i="3"/>
  <c r="J29" i="3"/>
  <c r="J28" i="3"/>
  <c r="J27" i="3"/>
  <c r="J25" i="3"/>
  <c r="J22" i="3"/>
  <c r="J39" i="3"/>
  <c r="J38" i="3"/>
  <c r="J35" i="3"/>
  <c r="J23" i="3"/>
  <c r="J40" i="3"/>
  <c r="D100" i="3"/>
  <c r="K100" i="3" s="1"/>
  <c r="O34" i="3"/>
  <c r="P34" i="3" s="1"/>
  <c r="L43" i="3"/>
  <c r="M43" i="3" s="1"/>
  <c r="D109" i="3"/>
  <c r="K109" i="3" s="1"/>
  <c r="O43" i="3"/>
  <c r="P43" i="3" s="1"/>
  <c r="L42" i="3"/>
  <c r="M42" i="3" s="1"/>
  <c r="O42" i="3"/>
  <c r="P42" i="3" s="1"/>
  <c r="E85" i="3"/>
  <c r="K106" i="3"/>
  <c r="D84" i="3"/>
  <c r="K84" i="3" s="1"/>
  <c r="K18" i="3"/>
  <c r="M18" i="3" s="1"/>
  <c r="L32" i="3"/>
  <c r="M32" i="3" s="1"/>
  <c r="O32" i="3"/>
  <c r="P32" i="3" s="1"/>
  <c r="K104" i="3"/>
  <c r="L24" i="3"/>
  <c r="M24" i="3" s="1"/>
  <c r="K34" i="3"/>
  <c r="M34" i="3" s="1"/>
  <c r="K87" i="3"/>
  <c r="O19" i="3"/>
  <c r="P19" i="3" s="1"/>
  <c r="K19" i="3"/>
  <c r="M19" i="3" s="1"/>
  <c r="C14" i="3"/>
  <c r="D111" i="3"/>
  <c r="K111" i="3" s="1"/>
  <c r="L45" i="3"/>
  <c r="M45" i="3" s="1"/>
  <c r="O45" i="3"/>
  <c r="P45" i="3" s="1"/>
  <c r="Q45" i="3" s="1"/>
  <c r="O25" i="3"/>
  <c r="P25" i="3" s="1"/>
  <c r="L25" i="3"/>
  <c r="M25" i="3" s="1"/>
  <c r="D99" i="3"/>
  <c r="K99" i="3" s="1"/>
  <c r="L33" i="3"/>
  <c r="M33" i="3" s="1"/>
  <c r="O33" i="3"/>
  <c r="P33" i="3" s="1"/>
  <c r="K108" i="3"/>
  <c r="E58" i="3"/>
  <c r="E91" i="3" s="1"/>
  <c r="D59" i="3"/>
  <c r="E59" i="3" s="1"/>
  <c r="E92" i="3" s="1"/>
  <c r="O31" i="3"/>
  <c r="P31" i="3" s="1"/>
  <c r="L31" i="3"/>
  <c r="M31" i="3" s="1"/>
  <c r="D107" i="3"/>
  <c r="O41" i="3"/>
  <c r="P41" i="3" s="1"/>
  <c r="Q41" i="3" s="1"/>
  <c r="O18" i="3"/>
  <c r="P18" i="3" s="1"/>
  <c r="Q40" i="3"/>
  <c r="K103" i="3"/>
  <c r="E64" i="3"/>
  <c r="E97" i="3" s="1"/>
  <c r="D65" i="3"/>
  <c r="L30" i="3"/>
  <c r="M30" i="3" s="1"/>
  <c r="O30" i="3"/>
  <c r="P30" i="3" s="1"/>
  <c r="O23" i="3"/>
  <c r="P23" i="3" s="1"/>
  <c r="L23" i="3"/>
  <c r="M23" i="3" s="1"/>
  <c r="K83" i="3"/>
  <c r="J114" i="3"/>
  <c r="K6" i="3"/>
  <c r="J145" i="3"/>
  <c r="K93" i="3"/>
  <c r="K88" i="3"/>
  <c r="F81" i="3"/>
  <c r="F83" i="3"/>
  <c r="F114" i="3" s="1"/>
  <c r="Q22" i="3"/>
  <c r="K101" i="3"/>
  <c r="L21" i="3"/>
  <c r="M21" i="3" s="1"/>
  <c r="O21" i="3"/>
  <c r="P21" i="3" s="1"/>
  <c r="K11" i="3"/>
  <c r="G48" i="3"/>
  <c r="G150" i="3"/>
  <c r="G151" i="3" s="1"/>
  <c r="H151" i="3" s="1"/>
  <c r="J151" i="3" s="1"/>
  <c r="H14" i="3"/>
  <c r="E14" i="3"/>
  <c r="D48" i="3"/>
  <c r="L20" i="3"/>
  <c r="M20" i="3" s="1"/>
  <c r="O20" i="3"/>
  <c r="P20" i="3" s="1"/>
  <c r="D102" i="3"/>
  <c r="K102" i="3" s="1"/>
  <c r="O36" i="3"/>
  <c r="P36" i="3" s="1"/>
  <c r="L36" i="3"/>
  <c r="M36" i="3" s="1"/>
  <c r="K97" i="3"/>
  <c r="C81" i="3"/>
  <c r="O26" i="3"/>
  <c r="P26" i="3" s="1"/>
  <c r="L26" i="3"/>
  <c r="M26" i="3" s="1"/>
  <c r="E71" i="3"/>
  <c r="E104" i="3" s="1"/>
  <c r="D77" i="3"/>
  <c r="K10" i="3"/>
  <c r="K86" i="3"/>
  <c r="K7" i="3"/>
  <c r="D104" i="3"/>
  <c r="Q22" i="9" l="1"/>
  <c r="Q25" i="9"/>
  <c r="Q17" i="9"/>
  <c r="Q24" i="9"/>
  <c r="Q39" i="9"/>
  <c r="Q38" i="9"/>
  <c r="Q40" i="9"/>
  <c r="Q35" i="9"/>
  <c r="Q26" i="9"/>
  <c r="Q31" i="9"/>
  <c r="I50" i="9"/>
  <c r="J53" i="9"/>
  <c r="I38" i="9"/>
  <c r="I47" i="9"/>
  <c r="I25" i="9"/>
  <c r="Q19" i="9"/>
  <c r="P48" i="9"/>
  <c r="I20" i="9"/>
  <c r="I37" i="9"/>
  <c r="I29" i="9"/>
  <c r="I32" i="9"/>
  <c r="Q28" i="9"/>
  <c r="Q43" i="9"/>
  <c r="I21" i="9"/>
  <c r="Q46" i="9"/>
  <c r="I35" i="9"/>
  <c r="I30" i="9"/>
  <c r="Q20" i="9"/>
  <c r="Q30" i="9"/>
  <c r="Q23" i="9"/>
  <c r="Q42" i="9"/>
  <c r="Q37" i="9"/>
  <c r="I41" i="9"/>
  <c r="I34" i="9"/>
  <c r="I39" i="9"/>
  <c r="I23" i="9"/>
  <c r="I46" i="9"/>
  <c r="I44" i="9"/>
  <c r="I33" i="9"/>
  <c r="I42" i="9"/>
  <c r="Q33" i="9"/>
  <c r="I31" i="9"/>
  <c r="I43" i="9"/>
  <c r="I24" i="9"/>
  <c r="I28" i="9"/>
  <c r="I19" i="9"/>
  <c r="I26" i="9"/>
  <c r="I45" i="9"/>
  <c r="I18" i="9"/>
  <c r="I22" i="9"/>
  <c r="J48" i="9"/>
  <c r="I17" i="9"/>
  <c r="I40" i="9"/>
  <c r="I27" i="9"/>
  <c r="I36" i="9"/>
  <c r="M48" i="9"/>
  <c r="K44" i="4"/>
  <c r="M44" i="4" s="1"/>
  <c r="Q44" i="4" s="1"/>
  <c r="Q27" i="3"/>
  <c r="Q34" i="3"/>
  <c r="D92" i="3"/>
  <c r="K92" i="3" s="1"/>
  <c r="Q30" i="3"/>
  <c r="Q43" i="3"/>
  <c r="M11" i="3"/>
  <c r="Q24" i="3"/>
  <c r="Q21" i="3"/>
  <c r="Q42" i="3"/>
  <c r="Q38" i="4"/>
  <c r="Q19" i="4"/>
  <c r="Q35" i="4"/>
  <c r="Q42" i="4"/>
  <c r="Q39" i="4"/>
  <c r="Q46" i="4"/>
  <c r="L27" i="4"/>
  <c r="M27" i="4" s="1"/>
  <c r="Q27" i="4" s="1"/>
  <c r="D93" i="4"/>
  <c r="K93" i="4" s="1"/>
  <c r="Q34" i="4"/>
  <c r="Q22" i="4"/>
  <c r="Q26" i="4"/>
  <c r="Q21" i="4"/>
  <c r="Q41" i="4"/>
  <c r="Q32" i="4"/>
  <c r="Q45" i="4"/>
  <c r="Q28" i="4"/>
  <c r="I71" i="4"/>
  <c r="I38" i="4"/>
  <c r="I57" i="4"/>
  <c r="I24" i="4"/>
  <c r="I90" i="4" s="1"/>
  <c r="I61" i="4"/>
  <c r="I28" i="4"/>
  <c r="Q23" i="4"/>
  <c r="P11" i="4"/>
  <c r="Q20" i="4"/>
  <c r="P7" i="4"/>
  <c r="P10" i="4"/>
  <c r="I60" i="4"/>
  <c r="I27" i="4"/>
  <c r="I35" i="4"/>
  <c r="I68" i="4"/>
  <c r="I67" i="4"/>
  <c r="I34" i="4"/>
  <c r="Q33" i="4"/>
  <c r="Q25" i="4"/>
  <c r="I62" i="4"/>
  <c r="I29" i="4"/>
  <c r="I95" i="4" s="1"/>
  <c r="L95" i="4" s="1"/>
  <c r="I47" i="4"/>
  <c r="I80" i="4"/>
  <c r="I72" i="4"/>
  <c r="I39" i="4"/>
  <c r="D110" i="4"/>
  <c r="K110" i="4" s="1"/>
  <c r="D92" i="4"/>
  <c r="I66" i="4"/>
  <c r="I33" i="4"/>
  <c r="I32" i="4"/>
  <c r="I65" i="4"/>
  <c r="I78" i="4"/>
  <c r="I45" i="4"/>
  <c r="I111" i="4" s="1"/>
  <c r="L111" i="4" s="1"/>
  <c r="K12" i="4"/>
  <c r="E77" i="4"/>
  <c r="E110" i="4" s="1"/>
  <c r="D79" i="4"/>
  <c r="I79" i="4" s="1"/>
  <c r="J48" i="4"/>
  <c r="I50" i="4"/>
  <c r="I17" i="4"/>
  <c r="I76" i="4"/>
  <c r="I43" i="4"/>
  <c r="C114" i="4"/>
  <c r="I40" i="4"/>
  <c r="I73" i="4"/>
  <c r="I52" i="4"/>
  <c r="I19" i="4"/>
  <c r="I51" i="4"/>
  <c r="I18" i="4"/>
  <c r="Q24" i="4"/>
  <c r="I55" i="4"/>
  <c r="I22" i="4"/>
  <c r="I88" i="4" s="1"/>
  <c r="I53" i="4"/>
  <c r="I20" i="4"/>
  <c r="I58" i="4"/>
  <c r="I25" i="4"/>
  <c r="Q36" i="4"/>
  <c r="I63" i="4"/>
  <c r="I30" i="4"/>
  <c r="I54" i="4"/>
  <c r="I21" i="4"/>
  <c r="I26" i="4"/>
  <c r="I59" i="4"/>
  <c r="Q18" i="4"/>
  <c r="M6" i="4"/>
  <c r="I74" i="4"/>
  <c r="I41" i="4"/>
  <c r="I64" i="4"/>
  <c r="I31" i="4"/>
  <c r="I42" i="4"/>
  <c r="I75" i="4"/>
  <c r="L6" i="4"/>
  <c r="Q37" i="4"/>
  <c r="P48" i="4"/>
  <c r="Q17" i="4"/>
  <c r="P6" i="4"/>
  <c r="I46" i="4"/>
  <c r="I69" i="4"/>
  <c r="I36" i="4"/>
  <c r="I70" i="4"/>
  <c r="I37" i="4"/>
  <c r="I77" i="4"/>
  <c r="I44" i="4"/>
  <c r="I56" i="4"/>
  <c r="I23" i="4"/>
  <c r="Q30" i="4"/>
  <c r="K8" i="4"/>
  <c r="Q43" i="4"/>
  <c r="Q29" i="4"/>
  <c r="M11" i="4"/>
  <c r="Q31" i="4"/>
  <c r="L6" i="3"/>
  <c r="Q18" i="3"/>
  <c r="P48" i="3"/>
  <c r="P6" i="3"/>
  <c r="I55" i="3"/>
  <c r="I22" i="3"/>
  <c r="I66" i="3"/>
  <c r="I33" i="3"/>
  <c r="I99" i="3" s="1"/>
  <c r="L99" i="3" s="1"/>
  <c r="I74" i="3"/>
  <c r="I41" i="3"/>
  <c r="I107" i="3" s="1"/>
  <c r="K12" i="3"/>
  <c r="I58" i="3"/>
  <c r="I25" i="3"/>
  <c r="I67" i="3"/>
  <c r="I34" i="3"/>
  <c r="I47" i="3"/>
  <c r="I80" i="3"/>
  <c r="Q36" i="3"/>
  <c r="Q33" i="3"/>
  <c r="Q32" i="3"/>
  <c r="I60" i="3"/>
  <c r="I27" i="3"/>
  <c r="I77" i="3"/>
  <c r="I44" i="3"/>
  <c r="I110" i="3" s="1"/>
  <c r="I59" i="3"/>
  <c r="I26" i="3"/>
  <c r="L102" i="3"/>
  <c r="I75" i="3"/>
  <c r="I42" i="3"/>
  <c r="I108" i="3" s="1"/>
  <c r="L108" i="3" s="1"/>
  <c r="I18" i="3"/>
  <c r="I51" i="3"/>
  <c r="J153" i="3"/>
  <c r="E4" i="3" s="1"/>
  <c r="C4" i="3" s="1"/>
  <c r="E77" i="3"/>
  <c r="E110" i="3" s="1"/>
  <c r="D79" i="3"/>
  <c r="I79" i="3" s="1"/>
  <c r="D110" i="3"/>
  <c r="K110" i="3" s="1"/>
  <c r="Q25" i="3"/>
  <c r="M7" i="3"/>
  <c r="E65" i="3"/>
  <c r="E98" i="3" s="1"/>
  <c r="D98" i="3"/>
  <c r="K98" i="3" s="1"/>
  <c r="I73" i="3"/>
  <c r="I40" i="3"/>
  <c r="I52" i="3"/>
  <c r="I19" i="3"/>
  <c r="I69" i="3"/>
  <c r="I36" i="3"/>
  <c r="I102" i="3" s="1"/>
  <c r="I57" i="3"/>
  <c r="I24" i="3"/>
  <c r="I90" i="3" s="1"/>
  <c r="L90" i="3" s="1"/>
  <c r="M48" i="3"/>
  <c r="E5" i="3" s="1"/>
  <c r="C5" i="3" s="1"/>
  <c r="M6" i="3"/>
  <c r="I64" i="3"/>
  <c r="I31" i="3"/>
  <c r="M10" i="3"/>
  <c r="I56" i="3"/>
  <c r="I23" i="3"/>
  <c r="I63" i="3"/>
  <c r="I30" i="3"/>
  <c r="I96" i="3" s="1"/>
  <c r="I54" i="3"/>
  <c r="I21" i="3"/>
  <c r="I87" i="3" s="1"/>
  <c r="L87" i="3" s="1"/>
  <c r="Q23" i="3"/>
  <c r="P11" i="3"/>
  <c r="J48" i="3"/>
  <c r="I50" i="3"/>
  <c r="I17" i="3"/>
  <c r="Q26" i="3"/>
  <c r="E9" i="3"/>
  <c r="C9" i="3" s="1"/>
  <c r="K107" i="3"/>
  <c r="I68" i="3"/>
  <c r="I35" i="3"/>
  <c r="I76" i="3"/>
  <c r="I43" i="3"/>
  <c r="I109" i="3" s="1"/>
  <c r="L109" i="3" s="1"/>
  <c r="I53" i="3"/>
  <c r="I20" i="3"/>
  <c r="I61" i="3"/>
  <c r="I28" i="3"/>
  <c r="I94" i="3" s="1"/>
  <c r="Q31" i="3"/>
  <c r="Q19" i="3"/>
  <c r="K8" i="3"/>
  <c r="I71" i="3"/>
  <c r="I38" i="3"/>
  <c r="I104" i="3" s="1"/>
  <c r="I78" i="3"/>
  <c r="I45" i="3"/>
  <c r="I111" i="3" s="1"/>
  <c r="L111" i="3" s="1"/>
  <c r="I65" i="3"/>
  <c r="I32" i="3"/>
  <c r="I62" i="3"/>
  <c r="I29" i="3"/>
  <c r="I95" i="3" s="1"/>
  <c r="I150" i="3"/>
  <c r="Q20" i="3"/>
  <c r="P10" i="3"/>
  <c r="P7" i="3"/>
  <c r="I72" i="3"/>
  <c r="I39" i="3"/>
  <c r="I46" i="3"/>
  <c r="I70" i="3"/>
  <c r="I37" i="3"/>
  <c r="I103" i="3" s="1"/>
  <c r="L103" i="3" s="1"/>
  <c r="I48" i="9" l="1"/>
  <c r="Q48" i="9"/>
  <c r="I87" i="4"/>
  <c r="I84" i="4"/>
  <c r="I100" i="3"/>
  <c r="L100" i="3" s="1"/>
  <c r="I92" i="3"/>
  <c r="I84" i="3"/>
  <c r="I88" i="3"/>
  <c r="L88" i="3" s="1"/>
  <c r="I112" i="3"/>
  <c r="L110" i="3"/>
  <c r="I89" i="3"/>
  <c r="L89" i="3" s="1"/>
  <c r="I91" i="4"/>
  <c r="L91" i="4" s="1"/>
  <c r="M10" i="4"/>
  <c r="M12" i="4" s="1"/>
  <c r="I102" i="4"/>
  <c r="L102" i="4" s="1"/>
  <c r="M7" i="4"/>
  <c r="M48" i="4"/>
  <c r="I86" i="4"/>
  <c r="L86" i="4" s="1"/>
  <c r="I109" i="4"/>
  <c r="L109" i="4" s="1"/>
  <c r="I89" i="4"/>
  <c r="L89" i="4" s="1"/>
  <c r="I105" i="4"/>
  <c r="L105" i="4" s="1"/>
  <c r="I104" i="4"/>
  <c r="L104" i="4" s="1"/>
  <c r="I93" i="4"/>
  <c r="L93" i="4" s="1"/>
  <c r="I97" i="4"/>
  <c r="L97" i="4" s="1"/>
  <c r="I96" i="4"/>
  <c r="L96" i="4" s="1"/>
  <c r="I85" i="4"/>
  <c r="L85" i="4" s="1"/>
  <c r="I107" i="4"/>
  <c r="L107" i="4" s="1"/>
  <c r="I99" i="4"/>
  <c r="L99" i="4" s="1"/>
  <c r="I94" i="4"/>
  <c r="L94" i="4" s="1"/>
  <c r="I112" i="4"/>
  <c r="P8" i="4"/>
  <c r="P9" i="4" s="1"/>
  <c r="I100" i="4"/>
  <c r="L100" i="4" s="1"/>
  <c r="I110" i="4"/>
  <c r="L110" i="4" s="1"/>
  <c r="I103" i="4"/>
  <c r="L103" i="4" s="1"/>
  <c r="M8" i="4"/>
  <c r="I48" i="4"/>
  <c r="I83" i="4"/>
  <c r="I113" i="4"/>
  <c r="L113" i="4" s="1"/>
  <c r="L90" i="4"/>
  <c r="I108" i="4"/>
  <c r="I92" i="4"/>
  <c r="I98" i="4"/>
  <c r="L87" i="4"/>
  <c r="Q48" i="4"/>
  <c r="Q6" i="4"/>
  <c r="P12" i="4"/>
  <c r="Q7" i="4"/>
  <c r="I81" i="4"/>
  <c r="I101" i="4"/>
  <c r="I106" i="4"/>
  <c r="L88" i="4"/>
  <c r="K92" i="4"/>
  <c r="E79" i="4"/>
  <c r="E112" i="4" s="1"/>
  <c r="E114" i="4" s="1"/>
  <c r="D114" i="4" s="1"/>
  <c r="D112" i="4"/>
  <c r="K112" i="4" s="1"/>
  <c r="Q10" i="4"/>
  <c r="L84" i="4"/>
  <c r="Q11" i="4"/>
  <c r="I106" i="3"/>
  <c r="I91" i="3"/>
  <c r="P8" i="3"/>
  <c r="P12" i="3"/>
  <c r="I101" i="3"/>
  <c r="Q11" i="3"/>
  <c r="I97" i="3"/>
  <c r="L96" i="3"/>
  <c r="L92" i="3"/>
  <c r="L94" i="3"/>
  <c r="Q6" i="3"/>
  <c r="Q8" i="3" s="1"/>
  <c r="Q48" i="3"/>
  <c r="L95" i="3"/>
  <c r="M12" i="3"/>
  <c r="E79" i="3"/>
  <c r="D112" i="3"/>
  <c r="K112" i="3" s="1"/>
  <c r="L112" i="3" s="1"/>
  <c r="I113" i="3"/>
  <c r="L113" i="3" s="1"/>
  <c r="Q7" i="3"/>
  <c r="L107" i="3"/>
  <c r="L11" i="3"/>
  <c r="L84" i="3"/>
  <c r="I86" i="3"/>
  <c r="I48" i="3"/>
  <c r="I83" i="3"/>
  <c r="Q10" i="3"/>
  <c r="I85" i="3"/>
  <c r="L85" i="3" s="1"/>
  <c r="M8" i="3"/>
  <c r="I105" i="3"/>
  <c r="I98" i="3"/>
  <c r="L98" i="3" s="1"/>
  <c r="I81" i="3"/>
  <c r="I93" i="3"/>
  <c r="L104" i="3"/>
  <c r="E81" i="4" l="1"/>
  <c r="D81" i="4" s="1"/>
  <c r="I114" i="4"/>
  <c r="L83" i="4"/>
  <c r="L106" i="4"/>
  <c r="L92" i="4"/>
  <c r="L11" i="4"/>
  <c r="L7" i="4"/>
  <c r="K114" i="4"/>
  <c r="L101" i="4"/>
  <c r="L98" i="4"/>
  <c r="L112" i="4"/>
  <c r="L10" i="4"/>
  <c r="Q12" i="4"/>
  <c r="Q8" i="4"/>
  <c r="L108" i="4"/>
  <c r="L101" i="3"/>
  <c r="K114" i="3"/>
  <c r="I114" i="3"/>
  <c r="L83" i="3"/>
  <c r="L97" i="3"/>
  <c r="L105" i="3"/>
  <c r="L86" i="3"/>
  <c r="L7" i="3"/>
  <c r="L91" i="3"/>
  <c r="L106" i="3"/>
  <c r="L93" i="3"/>
  <c r="E112" i="3"/>
  <c r="E114" i="3" s="1"/>
  <c r="D114" i="3" s="1"/>
  <c r="E81" i="3"/>
  <c r="D81" i="3" s="1"/>
  <c r="P9" i="3"/>
  <c r="Q12" i="3"/>
  <c r="L10" i="3"/>
  <c r="L12" i="4" l="1"/>
  <c r="L8" i="4"/>
  <c r="L114" i="4"/>
  <c r="E7" i="3"/>
  <c r="C7" i="3" s="1"/>
  <c r="L114" i="3"/>
  <c r="E6" i="3" s="1"/>
  <c r="C6" i="3" s="1"/>
  <c r="L12" i="3"/>
  <c r="L8" i="3"/>
  <c r="C12" i="3" l="1"/>
</calcChain>
</file>

<file path=xl/sharedStrings.xml><?xml version="1.0" encoding="utf-8"?>
<sst xmlns="http://schemas.openxmlformats.org/spreadsheetml/2006/main" count="523" uniqueCount="151">
  <si>
    <t>FY</t>
  </si>
  <si>
    <t>Cálculo</t>
  </si>
  <si>
    <t>Manual</t>
  </si>
  <si>
    <t>Atualizar</t>
  </si>
  <si>
    <t>Forex</t>
  </si>
  <si>
    <t>Price</t>
  </si>
  <si>
    <t>Sales</t>
  </si>
  <si>
    <t>Var Vol (kt)</t>
  </si>
  <si>
    <t>Vol/Mix impact</t>
  </si>
  <si>
    <t>Price impact</t>
  </si>
  <si>
    <t>Volume</t>
  </si>
  <si>
    <t>External</t>
  </si>
  <si>
    <t>Mix</t>
  </si>
  <si>
    <t>Domestic</t>
  </si>
  <si>
    <t>Fixed cost</t>
  </si>
  <si>
    <t>Total</t>
  </si>
  <si>
    <t>Input price</t>
  </si>
  <si>
    <t>Usage</t>
  </si>
  <si>
    <t>Industry</t>
  </si>
  <si>
    <t>Others</t>
  </si>
  <si>
    <t>Auto</t>
  </si>
  <si>
    <t>Stock variation</t>
  </si>
  <si>
    <t>Check</t>
  </si>
  <si>
    <t>Industry &amp; Down KUSD</t>
  </si>
  <si>
    <t>Auto KUSD</t>
  </si>
  <si>
    <t>FY26'B</t>
  </si>
  <si>
    <t>FY26'F7</t>
  </si>
  <si>
    <t xml:space="preserve">Sales </t>
  </si>
  <si>
    <t>kt</t>
  </si>
  <si>
    <t>USD/t</t>
  </si>
  <si>
    <t>kUSD</t>
  </si>
  <si>
    <t>Sales Mix</t>
  </si>
  <si>
    <t>Mix Working</t>
  </si>
  <si>
    <t>Var Price USD</t>
  </si>
  <si>
    <t>Var Price BRL</t>
  </si>
  <si>
    <t>Slab Calvert</t>
  </si>
  <si>
    <t>Slabs Others Intragroup</t>
  </si>
  <si>
    <t>Slabs 3rd Party</t>
  </si>
  <si>
    <t>Slab DM</t>
  </si>
  <si>
    <t>Plates DM</t>
  </si>
  <si>
    <t xml:space="preserve">HRC Export </t>
  </si>
  <si>
    <t>HRC DM Auto</t>
  </si>
  <si>
    <t>HRC DM Industry</t>
  </si>
  <si>
    <t>HRC DM Downstream</t>
  </si>
  <si>
    <t>P&amp;O DM Auto</t>
  </si>
  <si>
    <t>P&amp;O DM Industry</t>
  </si>
  <si>
    <t>CRC EM Auto</t>
  </si>
  <si>
    <t>CRC EM Industry</t>
  </si>
  <si>
    <t>CRC DM Auto</t>
  </si>
  <si>
    <t>CRC DM Industry</t>
  </si>
  <si>
    <t>CRC DM Downstream</t>
  </si>
  <si>
    <t>HDG EM Auto</t>
  </si>
  <si>
    <t>HDG EM Industry</t>
  </si>
  <si>
    <t>HDG DM Auto</t>
  </si>
  <si>
    <t>HDG DM Industry</t>
  </si>
  <si>
    <t>HDG DM Downstream</t>
  </si>
  <si>
    <t xml:space="preserve">AlZn Export </t>
  </si>
  <si>
    <t>AlZn DM Industry</t>
  </si>
  <si>
    <t>ALZn DM Downstream</t>
  </si>
  <si>
    <t>Usibor DM Auto</t>
  </si>
  <si>
    <t>AlSi DM Industry</t>
  </si>
  <si>
    <t>Auto Imports/PP DM</t>
  </si>
  <si>
    <t>Magnelis DM Industry</t>
  </si>
  <si>
    <t>Industry Imports</t>
  </si>
  <si>
    <t>Magnelis DM Downstream</t>
  </si>
  <si>
    <t>HRC Aperam baixo carbono</t>
  </si>
  <si>
    <t>Total Sales</t>
  </si>
  <si>
    <t>Variable Costs</t>
  </si>
  <si>
    <t>Cost Mix</t>
  </si>
  <si>
    <t>Total Variable Cost</t>
  </si>
  <si>
    <t xml:space="preserve">Contribution </t>
  </si>
  <si>
    <t>Var Vol</t>
  </si>
  <si>
    <t>Vol &amp; Mix</t>
  </si>
  <si>
    <t>Total Contribution</t>
  </si>
  <si>
    <t>Fixed Costs</t>
  </si>
  <si>
    <t>FC Forex</t>
  </si>
  <si>
    <t>Fixed Cost</t>
  </si>
  <si>
    <t>Labor</t>
  </si>
  <si>
    <t>R&amp;M</t>
  </si>
  <si>
    <t>R&amp;M USD</t>
  </si>
  <si>
    <t>SG&amp;A</t>
  </si>
  <si>
    <t>SG&amp;A USD</t>
  </si>
  <si>
    <t xml:space="preserve">SG&amp;A NC </t>
  </si>
  <si>
    <t>SG&amp;A NC USD</t>
  </si>
  <si>
    <t>Production</t>
  </si>
  <si>
    <t>Production USD</t>
  </si>
  <si>
    <t>Total Fixed Costs</t>
  </si>
  <si>
    <t>Yield MRF</t>
  </si>
  <si>
    <t>Coal</t>
  </si>
  <si>
    <t>PCI</t>
  </si>
  <si>
    <t>Others (Antracito)</t>
  </si>
  <si>
    <t>Purchased coke</t>
  </si>
  <si>
    <t>Fines</t>
  </si>
  <si>
    <t>Pellets</t>
  </si>
  <si>
    <t>Lumps</t>
  </si>
  <si>
    <t>Alloys</t>
  </si>
  <si>
    <t>Zinc</t>
  </si>
  <si>
    <t>AMS allocation fee</t>
  </si>
  <si>
    <t>Natural Gas</t>
  </si>
  <si>
    <t>Fluxes</t>
  </si>
  <si>
    <t>Energy</t>
  </si>
  <si>
    <t>Refractories</t>
  </si>
  <si>
    <t>Var. contractors</t>
  </si>
  <si>
    <t>Freight rate</t>
  </si>
  <si>
    <t>Crude Steel production</t>
  </si>
  <si>
    <t>Total Input price</t>
  </si>
  <si>
    <t>Total Usage</t>
  </si>
  <si>
    <t>Total kUSD</t>
  </si>
  <si>
    <t>DM kUSD</t>
  </si>
  <si>
    <t>% DM</t>
  </si>
  <si>
    <t>Revenue</t>
  </si>
  <si>
    <t>EBITDA Cost</t>
  </si>
  <si>
    <t>Total Forex</t>
  </si>
  <si>
    <t>Bridge</t>
  </si>
  <si>
    <t>Logistic / VAT</t>
  </si>
  <si>
    <t>USD</t>
  </si>
  <si>
    <t>Shift collective complaint</t>
  </si>
  <si>
    <t>Demurrage</t>
  </si>
  <si>
    <t>Demurrage logistica</t>
  </si>
  <si>
    <t>Baily challenge</t>
  </si>
  <si>
    <t>CPC47</t>
  </si>
  <si>
    <t>Change on VAT legislation</t>
  </si>
  <si>
    <t>Slowmoving</t>
  </si>
  <si>
    <t>Coke</t>
  </si>
  <si>
    <t>Slab from Pecem</t>
  </si>
  <si>
    <t>Physical inventories</t>
  </si>
  <si>
    <t>Insurance claim¹</t>
  </si>
  <si>
    <t>SV usage breakdown</t>
  </si>
  <si>
    <t>Extemporaneous credit</t>
  </si>
  <si>
    <t>Invest-ES</t>
  </si>
  <si>
    <t>PIS COFINS depreciation</t>
  </si>
  <si>
    <t>Ajuste QM (reclamação cliente)</t>
  </si>
  <si>
    <t>Vale issues</t>
  </si>
  <si>
    <t>AMG incident (insurance)</t>
  </si>
  <si>
    <t>Energy (BPM)</t>
  </si>
  <si>
    <t>Total Others</t>
  </si>
  <si>
    <t>=</t>
  </si>
  <si>
    <t xml:space="preserve">Fontes: </t>
  </si>
  <si>
    <t>Preço-ex works (Receita SAC)</t>
  </si>
  <si>
    <t>Cost by stage para o custo variável de forma a calcular a margem de contribuição</t>
  </si>
  <si>
    <t>Obs: Quando não tem volume no período comparativo, eu coloco o preço igual de forma a não trazer efeito no selling price</t>
  </si>
  <si>
    <t>Fonte:</t>
  </si>
  <si>
    <t>Breakdown</t>
  </si>
  <si>
    <t>Buscar a informação no foundation (MCR)</t>
  </si>
  <si>
    <t>Fonte;</t>
  </si>
  <si>
    <t>MCR (foundation)</t>
  </si>
  <si>
    <t>Abrir em market driven e performance operacional</t>
  </si>
  <si>
    <t>Memória de calculo abaixo</t>
  </si>
  <si>
    <t>O restante não explicado.</t>
  </si>
  <si>
    <t>No segundo momento, criar os modelos matemáticos automaticos para pegar o cálculo do forex from inventories, stock variation, legal contingency, invest-ES, etc</t>
  </si>
  <si>
    <t>Inicialmente pegar os valores do EBITDA do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</si>
</sst>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8" formatCode="_-* #,##0.00\ _€_-;\-* #,##0.00\ _€_-;_-* &quot;-&quot;??\ _€_-;_-@_-"/>
  </numFmts>
  <fonts count="14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rial"/>
      <family val="2"/>
    </font>
    <font>
      <b/>
      <u/>
      <sz val="10"/>
      <color rgb="FF0070C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indexed="12"/>
      <name val="Aptos Narrow"/>
      <family val="2"/>
      <scheme val="minor"/>
    </font>
    <font>
      <i/>
      <sz val="10"/>
      <color indexed="12"/>
      <name val="Aptos Narrow"/>
      <family val="2"/>
      <scheme val="minor"/>
    </font>
    <font>
      <u/>
      <sz val="1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10"/>
      <name val="Aptos Narrow"/>
      <family val="2"/>
      <scheme val="minor"/>
    </font>
    <font>
      <b/>
      <u/>
      <sz val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gray125">
        <bgColor theme="7" tint="0.79998168889431442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</cellStyleXfs>
  <cellXfs count="150">
    <xf numFmtId="0" fontId="0" fillId="0" borderId="0" xfId="0"/>
    <xf numFmtId="1" fontId="2" fillId="0" borderId="0" xfId="1" applyNumberFormat="1" applyFont="1"/>
    <xf numFmtId="1" fontId="2" fillId="0" borderId="0" xfId="1" applyNumberFormat="1" applyFont="1" applyAlignment="1">
      <alignment horizontal="right"/>
    </xf>
    <xf numFmtId="1" fontId="2" fillId="0" borderId="0" xfId="1" applyNumberFormat="1" applyFont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/>
    <xf numFmtId="1" fontId="5" fillId="0" borderId="2" xfId="2" applyNumberFormat="1" applyFont="1" applyBorder="1" applyAlignment="1">
      <alignment horizontal="center"/>
    </xf>
    <xf numFmtId="3" fontId="2" fillId="0" borderId="0" xfId="1" applyNumberFormat="1" applyFont="1"/>
    <xf numFmtId="1" fontId="3" fillId="0" borderId="0" xfId="1" applyNumberFormat="1" applyFont="1"/>
    <xf numFmtId="1" fontId="3" fillId="0" borderId="0" xfId="1" applyNumberFormat="1" applyFont="1" applyAlignment="1">
      <alignment horizontal="center"/>
    </xf>
    <xf numFmtId="1" fontId="3" fillId="2" borderId="3" xfId="2" applyNumberFormat="1" applyFont="1" applyFill="1" applyBorder="1"/>
    <xf numFmtId="37" fontId="3" fillId="3" borderId="4" xfId="3" applyNumberFormat="1" applyFont="1" applyFill="1" applyBorder="1"/>
    <xf numFmtId="1" fontId="2" fillId="3" borderId="0" xfId="1" applyNumberFormat="1" applyFont="1" applyFill="1" applyAlignment="1">
      <alignment horizontal="center"/>
    </xf>
    <xf numFmtId="1" fontId="2" fillId="0" borderId="5" xfId="2" applyNumberFormat="1" applyFont="1" applyBorder="1"/>
    <xf numFmtId="37" fontId="2" fillId="0" borderId="5" xfId="3" applyNumberFormat="1" applyFont="1" applyFill="1" applyBorder="1"/>
    <xf numFmtId="37" fontId="2" fillId="0" borderId="3" xfId="3" applyNumberFormat="1" applyFont="1" applyFill="1" applyBorder="1"/>
    <xf numFmtId="1" fontId="5" fillId="0" borderId="3" xfId="2" applyNumberFormat="1" applyFont="1" applyBorder="1" applyAlignment="1">
      <alignment horizontal="center"/>
    </xf>
    <xf numFmtId="1" fontId="5" fillId="0" borderId="6" xfId="2" applyNumberFormat="1" applyFont="1" applyBorder="1" applyAlignment="1">
      <alignment horizontal="center"/>
    </xf>
    <xf numFmtId="3" fontId="2" fillId="0" borderId="5" xfId="1" applyNumberFormat="1" applyFont="1" applyBorder="1"/>
    <xf numFmtId="3" fontId="2" fillId="5" borderId="5" xfId="1" applyNumberFormat="1" applyFont="1" applyFill="1" applyBorder="1"/>
    <xf numFmtId="164" fontId="2" fillId="0" borderId="0" xfId="4" applyFont="1" applyAlignment="1">
      <alignment horizontal="right"/>
    </xf>
    <xf numFmtId="3" fontId="2" fillId="6" borderId="5" xfId="1" applyNumberFormat="1" applyFont="1" applyFill="1" applyBorder="1"/>
    <xf numFmtId="1" fontId="3" fillId="0" borderId="4" xfId="2" applyNumberFormat="1" applyFont="1" applyBorder="1"/>
    <xf numFmtId="3" fontId="3" fillId="0" borderId="4" xfId="1" applyNumberFormat="1" applyFont="1" applyBorder="1"/>
    <xf numFmtId="165" fontId="2" fillId="0" borderId="0" xfId="4" applyNumberFormat="1" applyFont="1"/>
    <xf numFmtId="1" fontId="2" fillId="0" borderId="7" xfId="2" applyNumberFormat="1" applyFont="1" applyBorder="1"/>
    <xf numFmtId="37" fontId="2" fillId="7" borderId="7" xfId="3" applyNumberFormat="1" applyFont="1" applyFill="1" applyBorder="1"/>
    <xf numFmtId="37" fontId="2" fillId="0" borderId="4" xfId="3" applyNumberFormat="1" applyFont="1" applyFill="1" applyBorder="1"/>
    <xf numFmtId="1" fontId="6" fillId="0" borderId="0" xfId="1" applyNumberFormat="1" applyFont="1"/>
    <xf numFmtId="164" fontId="2" fillId="0" borderId="0" xfId="4" applyFont="1"/>
    <xf numFmtId="1" fontId="3" fillId="2" borderId="4" xfId="2" applyNumberFormat="1" applyFont="1" applyFill="1" applyBorder="1"/>
    <xf numFmtId="9" fontId="2" fillId="0" borderId="0" xfId="5" applyFont="1"/>
    <xf numFmtId="3" fontId="7" fillId="0" borderId="0" xfId="1" applyNumberFormat="1" applyFont="1"/>
    <xf numFmtId="3" fontId="8" fillId="0" borderId="0" xfId="1" applyNumberFormat="1" applyFont="1"/>
    <xf numFmtId="1" fontId="2" fillId="0" borderId="3" xfId="2" applyNumberFormat="1" applyFont="1" applyBorder="1"/>
    <xf numFmtId="3" fontId="2" fillId="0" borderId="3" xfId="1" applyNumberFormat="1" applyFont="1" applyBorder="1"/>
    <xf numFmtId="1" fontId="8" fillId="0" borderId="0" xfId="1" applyNumberFormat="1" applyFont="1"/>
    <xf numFmtId="165" fontId="8" fillId="0" borderId="0" xfId="4" applyNumberFormat="1" applyFont="1"/>
    <xf numFmtId="1" fontId="7" fillId="0" borderId="0" xfId="1" applyNumberFormat="1" applyFont="1" applyAlignment="1">
      <alignment horizontal="center"/>
    </xf>
    <xf numFmtId="165" fontId="7" fillId="0" borderId="0" xfId="4" applyNumberFormat="1" applyFont="1"/>
    <xf numFmtId="164" fontId="7" fillId="0" borderId="0" xfId="1" applyNumberFormat="1" applyFont="1" applyAlignment="1">
      <alignment horizontal="center"/>
    </xf>
    <xf numFmtId="164" fontId="7" fillId="0" borderId="0" xfId="4" applyFont="1"/>
    <xf numFmtId="1" fontId="2" fillId="0" borderId="4" xfId="2" applyNumberFormat="1" applyFont="1" applyBorder="1"/>
    <xf numFmtId="3" fontId="2" fillId="0" borderId="4" xfId="1" applyNumberFormat="1" applyFont="1" applyBorder="1"/>
    <xf numFmtId="1" fontId="3" fillId="8" borderId="8" xfId="2" applyNumberFormat="1" applyFont="1" applyFill="1" applyBorder="1"/>
    <xf numFmtId="1" fontId="3" fillId="3" borderId="9" xfId="2" applyNumberFormat="1" applyFont="1" applyFill="1" applyBorder="1" applyAlignment="1">
      <alignment horizontal="center"/>
    </xf>
    <xf numFmtId="1" fontId="3" fillId="8" borderId="10" xfId="2" applyNumberFormat="1" applyFont="1" applyFill="1" applyBorder="1"/>
    <xf numFmtId="1" fontId="3" fillId="8" borderId="8" xfId="2" applyNumberFormat="1" applyFont="1" applyFill="1" applyBorder="1" applyAlignment="1">
      <alignment horizontal="center"/>
    </xf>
    <xf numFmtId="1" fontId="3" fillId="8" borderId="10" xfId="2" applyNumberFormat="1" applyFont="1" applyFill="1" applyBorder="1" applyAlignment="1">
      <alignment horizontal="center"/>
    </xf>
    <xf numFmtId="4" fontId="9" fillId="0" borderId="0" xfId="1" applyNumberFormat="1" applyFont="1"/>
    <xf numFmtId="1" fontId="2" fillId="0" borderId="0" xfId="1" quotePrefix="1" applyNumberFormat="1" applyFont="1" applyAlignment="1">
      <alignment horizontal="right"/>
    </xf>
    <xf numFmtId="1" fontId="5" fillId="0" borderId="3" xfId="2" applyNumberFormat="1" applyFont="1" applyBorder="1"/>
    <xf numFmtId="1" fontId="5" fillId="0" borderId="11" xfId="2" applyNumberFormat="1" applyFont="1" applyBorder="1" applyAlignment="1">
      <alignment horizontal="center"/>
    </xf>
    <xf numFmtId="1" fontId="5" fillId="0" borderId="12" xfId="2" applyNumberFormat="1" applyFont="1" applyBorder="1" applyAlignment="1">
      <alignment horizontal="center"/>
    </xf>
    <xf numFmtId="37" fontId="2" fillId="3" borderId="13" xfId="3" applyNumberFormat="1" applyFont="1" applyFill="1" applyBorder="1"/>
    <xf numFmtId="37" fontId="2" fillId="0" borderId="14" xfId="3" applyNumberFormat="1" applyFont="1" applyFill="1" applyBorder="1"/>
    <xf numFmtId="37" fontId="2" fillId="3" borderId="15" xfId="3" applyNumberFormat="1" applyFont="1" applyFill="1" applyBorder="1"/>
    <xf numFmtId="3" fontId="2" fillId="1" borderId="5" xfId="1" applyNumberFormat="1" applyFont="1" applyFill="1" applyBorder="1"/>
    <xf numFmtId="3" fontId="2" fillId="0" borderId="0" xfId="1" applyNumberFormat="1" applyFont="1" applyAlignment="1">
      <alignment horizontal="right"/>
    </xf>
    <xf numFmtId="1" fontId="5" fillId="0" borderId="0" xfId="2" applyNumberFormat="1" applyFont="1" applyAlignment="1">
      <alignment horizontal="center"/>
    </xf>
    <xf numFmtId="37" fontId="2" fillId="0" borderId="0" xfId="3" applyNumberFormat="1" applyFont="1" applyFill="1" applyBorder="1"/>
    <xf numFmtId="37" fontId="2" fillId="0" borderId="0" xfId="3" applyNumberFormat="1" applyFont="1" applyFill="1" applyBorder="1" applyAlignment="1">
      <alignment horizontal="center"/>
    </xf>
    <xf numFmtId="1" fontId="2" fillId="0" borderId="0" xfId="2" applyNumberFormat="1" applyFont="1"/>
    <xf numFmtId="4" fontId="2" fillId="0" borderId="0" xfId="1" applyNumberFormat="1" applyFont="1"/>
    <xf numFmtId="37" fontId="10" fillId="7" borderId="14" xfId="3" applyNumberFormat="1" applyFont="1" applyFill="1" applyBorder="1"/>
    <xf numFmtId="3" fontId="6" fillId="0" borderId="0" xfId="1" applyNumberFormat="1" applyFont="1"/>
    <xf numFmtId="9" fontId="2" fillId="0" borderId="0" xfId="5" applyFont="1" applyAlignment="1">
      <alignment horizontal="right"/>
    </xf>
    <xf numFmtId="3" fontId="2" fillId="4" borderId="5" xfId="1" applyNumberFormat="1" applyFont="1" applyFill="1" applyBorder="1"/>
    <xf numFmtId="3" fontId="2" fillId="10" borderId="5" xfId="1" applyNumberFormat="1" applyFont="1" applyFill="1" applyBorder="1"/>
    <xf numFmtId="1" fontId="2" fillId="4" borderId="0" xfId="1" applyNumberFormat="1" applyFont="1" applyFill="1" applyAlignment="1">
      <alignment horizontal="right"/>
    </xf>
    <xf numFmtId="1" fontId="2" fillId="0" borderId="16" xfId="2" applyNumberFormat="1" applyFont="1" applyBorder="1"/>
    <xf numFmtId="1" fontId="2" fillId="0" borderId="17" xfId="2" applyNumberFormat="1" applyFont="1" applyBorder="1"/>
    <xf numFmtId="1" fontId="3" fillId="8" borderId="18" xfId="2" applyNumberFormat="1" applyFont="1" applyFill="1" applyBorder="1"/>
    <xf numFmtId="37" fontId="3" fillId="2" borderId="19" xfId="3" applyNumberFormat="1" applyFont="1" applyFill="1" applyBorder="1" applyAlignment="1"/>
    <xf numFmtId="37" fontId="3" fillId="2" borderId="20" xfId="3" applyNumberFormat="1" applyFont="1" applyFill="1" applyBorder="1" applyAlignment="1"/>
    <xf numFmtId="37" fontId="3" fillId="8" borderId="18" xfId="3" applyNumberFormat="1" applyFont="1" applyFill="1" applyBorder="1" applyAlignment="1"/>
    <xf numFmtId="1" fontId="5" fillId="0" borderId="21" xfId="2" applyNumberFormat="1" applyFont="1" applyBorder="1"/>
    <xf numFmtId="1" fontId="5" fillId="0" borderId="21" xfId="2" applyNumberFormat="1" applyFont="1" applyBorder="1" applyAlignment="1">
      <alignment horizontal="center"/>
    </xf>
    <xf numFmtId="1" fontId="5" fillId="0" borderId="22" xfId="2" applyNumberFormat="1" applyFont="1" applyBorder="1" applyAlignment="1">
      <alignment horizontal="center"/>
    </xf>
    <xf numFmtId="37" fontId="2" fillId="0" borderId="13" xfId="3" applyNumberFormat="1" applyFont="1" applyFill="1" applyBorder="1"/>
    <xf numFmtId="37" fontId="2" fillId="0" borderId="15" xfId="3" applyNumberFormat="1" applyFont="1" applyFill="1" applyBorder="1"/>
    <xf numFmtId="37" fontId="2" fillId="1" borderId="14" xfId="3" applyNumberFormat="1" applyFont="1" applyFill="1" applyBorder="1"/>
    <xf numFmtId="37" fontId="2" fillId="1" borderId="15" xfId="3" applyNumberFormat="1" applyFont="1" applyFill="1" applyBorder="1"/>
    <xf numFmtId="1" fontId="11" fillId="3" borderId="0" xfId="1" applyNumberFormat="1" applyFont="1" applyFill="1" applyAlignment="1">
      <alignment horizontal="center"/>
    </xf>
    <xf numFmtId="37" fontId="2" fillId="3" borderId="14" xfId="3" applyNumberFormat="1" applyFont="1" applyFill="1" applyBorder="1"/>
    <xf numFmtId="37" fontId="2" fillId="9" borderId="14" xfId="3" applyNumberFormat="1" applyFont="1" applyFill="1" applyBorder="1"/>
    <xf numFmtId="1" fontId="6" fillId="3" borderId="0" xfId="1" applyNumberFormat="1" applyFont="1" applyFill="1" applyAlignment="1">
      <alignment horizontal="center"/>
    </xf>
    <xf numFmtId="1" fontId="3" fillId="8" borderId="19" xfId="2" applyNumberFormat="1" applyFont="1" applyFill="1" applyBorder="1"/>
    <xf numFmtId="37" fontId="3" fillId="8" borderId="19" xfId="3" applyNumberFormat="1" applyFont="1" applyFill="1" applyBorder="1" applyAlignment="1"/>
    <xf numFmtId="37" fontId="3" fillId="8" borderId="20" xfId="3" applyNumberFormat="1" applyFont="1" applyFill="1" applyBorder="1" applyAlignment="1"/>
    <xf numFmtId="37" fontId="3" fillId="8" borderId="23" xfId="3" applyNumberFormat="1" applyFont="1" applyFill="1" applyBorder="1" applyAlignment="1"/>
    <xf numFmtId="1" fontId="2" fillId="7" borderId="5" xfId="2" applyNumberFormat="1" applyFont="1" applyFill="1" applyBorder="1"/>
    <xf numFmtId="37" fontId="2" fillId="7" borderId="13" xfId="3" applyNumberFormat="1" applyFont="1" applyFill="1" applyBorder="1"/>
    <xf numFmtId="37" fontId="2" fillId="7" borderId="14" xfId="3" applyNumberFormat="1" applyFont="1" applyFill="1" applyBorder="1"/>
    <xf numFmtId="37" fontId="2" fillId="7" borderId="15" xfId="3" applyNumberFormat="1" applyFont="1" applyFill="1" applyBorder="1"/>
    <xf numFmtId="37" fontId="2" fillId="11" borderId="11" xfId="2" applyNumberFormat="1" applyFont="1" applyFill="1" applyBorder="1"/>
    <xf numFmtId="37" fontId="2" fillId="11" borderId="12" xfId="2" applyNumberFormat="1" applyFont="1" applyFill="1" applyBorder="1"/>
    <xf numFmtId="37" fontId="12" fillId="11" borderId="21" xfId="3" applyNumberFormat="1" applyFont="1" applyFill="1" applyBorder="1"/>
    <xf numFmtId="37" fontId="12" fillId="11" borderId="2" xfId="3" applyNumberFormat="1" applyFont="1" applyFill="1" applyBorder="1"/>
    <xf numFmtId="37" fontId="2" fillId="0" borderId="0" xfId="1" applyNumberFormat="1" applyFont="1" applyAlignment="1">
      <alignment horizontal="right"/>
    </xf>
    <xf numFmtId="37" fontId="2" fillId="1" borderId="13" xfId="3" applyNumberFormat="1" applyFont="1" applyFill="1" applyBorder="1"/>
    <xf numFmtId="37" fontId="6" fillId="1" borderId="13" xfId="3" applyNumberFormat="1" applyFont="1" applyFill="1" applyBorder="1"/>
    <xf numFmtId="37" fontId="6" fillId="1" borderId="14" xfId="3" applyNumberFormat="1" applyFont="1" applyFill="1" applyBorder="1"/>
    <xf numFmtId="37" fontId="2" fillId="0" borderId="15" xfId="3" applyNumberFormat="1" applyFont="1" applyFill="1" applyBorder="1" applyAlignment="1">
      <alignment horizontal="right" vertical="center"/>
    </xf>
    <xf numFmtId="37" fontId="2" fillId="0" borderId="5" xfId="3" applyNumberFormat="1" applyFont="1" applyFill="1" applyBorder="1" applyAlignment="1">
      <alignment horizontal="right" vertical="center"/>
    </xf>
    <xf numFmtId="4" fontId="2" fillId="3" borderId="15" xfId="3" applyNumberFormat="1" applyFont="1" applyFill="1" applyBorder="1"/>
    <xf numFmtId="37" fontId="6" fillId="0" borderId="13" xfId="3" applyNumberFormat="1" applyFont="1" applyFill="1" applyBorder="1"/>
    <xf numFmtId="37" fontId="6" fillId="0" borderId="14" xfId="3" applyNumberFormat="1" applyFont="1" applyFill="1" applyBorder="1"/>
    <xf numFmtId="37" fontId="2" fillId="0" borderId="24" xfId="3" applyNumberFormat="1" applyFont="1" applyFill="1" applyBorder="1" applyAlignment="1">
      <alignment horizontal="right" vertical="center"/>
    </xf>
    <xf numFmtId="37" fontId="3" fillId="8" borderId="19" xfId="2" applyNumberFormat="1" applyFont="1" applyFill="1" applyBorder="1"/>
    <xf numFmtId="37" fontId="3" fillId="3" borderId="23" xfId="3" applyNumberFormat="1" applyFont="1" applyFill="1" applyBorder="1" applyAlignment="1"/>
    <xf numFmtId="4" fontId="2" fillId="3" borderId="5" xfId="3" applyNumberFormat="1" applyFont="1" applyFill="1" applyBorder="1"/>
    <xf numFmtId="164" fontId="2" fillId="0" borderId="0" xfId="4" applyFont="1" applyFill="1"/>
    <xf numFmtId="37" fontId="2" fillId="7" borderId="5" xfId="3" applyNumberFormat="1" applyFont="1" applyFill="1" applyBorder="1" applyAlignment="1">
      <alignment horizontal="right" vertical="center"/>
    </xf>
    <xf numFmtId="37" fontId="2" fillId="0" borderId="7" xfId="3" applyNumberFormat="1" applyFont="1" applyFill="1" applyBorder="1" applyAlignment="1">
      <alignment horizontal="right" vertical="center"/>
    </xf>
    <xf numFmtId="37" fontId="2" fillId="0" borderId="25" xfId="3" applyNumberFormat="1" applyFont="1" applyFill="1" applyBorder="1" applyAlignment="1">
      <alignment horizontal="right" vertical="center"/>
    </xf>
    <xf numFmtId="37" fontId="2" fillId="0" borderId="4" xfId="3" applyNumberFormat="1" applyFont="1" applyFill="1" applyBorder="1" applyAlignment="1">
      <alignment horizontal="right" vertical="center"/>
    </xf>
    <xf numFmtId="37" fontId="2" fillId="0" borderId="26" xfId="3" applyNumberFormat="1" applyFont="1" applyFill="1" applyBorder="1" applyAlignment="1">
      <alignment horizontal="right" vertical="center"/>
    </xf>
    <xf numFmtId="37" fontId="2" fillId="8" borderId="20" xfId="3" applyNumberFormat="1" applyFont="1" applyFill="1" applyBorder="1"/>
    <xf numFmtId="1" fontId="5" fillId="0" borderId="24" xfId="2" applyNumberFormat="1" applyFont="1" applyBorder="1" applyAlignment="1">
      <alignment horizontal="center"/>
    </xf>
    <xf numFmtId="1" fontId="13" fillId="11" borderId="27" xfId="2" applyNumberFormat="1" applyFont="1" applyFill="1" applyBorder="1"/>
    <xf numFmtId="37" fontId="2" fillId="0" borderId="27" xfId="1" applyNumberFormat="1" applyFont="1" applyBorder="1"/>
    <xf numFmtId="37" fontId="2" fillId="0" borderId="0" xfId="1" applyNumberFormat="1" applyFont="1"/>
    <xf numFmtId="37" fontId="2" fillId="0" borderId="28" xfId="3" applyNumberFormat="1" applyFont="1" applyBorder="1"/>
    <xf numFmtId="37" fontId="2" fillId="0" borderId="27" xfId="3" applyNumberFormat="1" applyFont="1" applyBorder="1"/>
    <xf numFmtId="37" fontId="2" fillId="0" borderId="0" xfId="3" applyNumberFormat="1" applyFont="1" applyBorder="1"/>
    <xf numFmtId="3" fontId="2" fillId="3" borderId="29" xfId="1" applyNumberFormat="1" applyFont="1" applyFill="1" applyBorder="1"/>
    <xf numFmtId="9" fontId="2" fillId="0" borderId="5" xfId="5" applyFont="1" applyFill="1" applyBorder="1"/>
    <xf numFmtId="3" fontId="2" fillId="0" borderId="5" xfId="5" applyNumberFormat="1" applyFont="1" applyFill="1" applyBorder="1"/>
    <xf numFmtId="9" fontId="2" fillId="3" borderId="5" xfId="5" applyFont="1" applyFill="1" applyBorder="1"/>
    <xf numFmtId="1" fontId="2" fillId="0" borderId="27" xfId="2" applyNumberFormat="1" applyFont="1" applyBorder="1"/>
    <xf numFmtId="37" fontId="2" fillId="0" borderId="27" xfId="3" applyNumberFormat="1" applyFont="1" applyFill="1" applyBorder="1"/>
    <xf numFmtId="4" fontId="2" fillId="12" borderId="28" xfId="3" applyNumberFormat="1" applyFont="1" applyFill="1" applyBorder="1"/>
    <xf numFmtId="9" fontId="2" fillId="0" borderId="28" xfId="5" applyFont="1" applyFill="1" applyBorder="1"/>
    <xf numFmtId="37" fontId="3" fillId="8" borderId="19" xfId="1" applyNumberFormat="1" applyFont="1" applyFill="1" applyBorder="1"/>
    <xf numFmtId="37" fontId="3" fillId="8" borderId="20" xfId="1" applyNumberFormat="1" applyFont="1" applyFill="1" applyBorder="1"/>
    <xf numFmtId="37" fontId="3" fillId="8" borderId="23" xfId="3" applyNumberFormat="1" applyFont="1" applyFill="1" applyBorder="1"/>
    <xf numFmtId="37" fontId="3" fillId="8" borderId="19" xfId="3" applyNumberFormat="1" applyFont="1" applyFill="1" applyBorder="1"/>
    <xf numFmtId="37" fontId="3" fillId="8" borderId="20" xfId="3" applyNumberFormat="1" applyFont="1" applyFill="1" applyBorder="1"/>
    <xf numFmtId="3" fontId="2" fillId="12" borderId="29" xfId="1" applyNumberFormat="1" applyFont="1" applyFill="1" applyBorder="1"/>
    <xf numFmtId="37" fontId="2" fillId="3" borderId="15" xfId="3" applyNumberFormat="1" applyFont="1" applyFill="1" applyBorder="1" applyAlignment="1">
      <alignment horizontal="center"/>
    </xf>
    <xf numFmtId="39" fontId="2" fillId="0" borderId="0" xfId="1" applyNumberFormat="1" applyFont="1" applyAlignment="1">
      <alignment horizontal="right"/>
    </xf>
    <xf numFmtId="165" fontId="2" fillId="3" borderId="15" xfId="4" applyNumberFormat="1" applyFont="1" applyFill="1" applyBorder="1"/>
    <xf numFmtId="38" fontId="2" fillId="0" borderId="0" xfId="6" applyNumberFormat="1" applyFont="1"/>
    <xf numFmtId="38" fontId="3" fillId="0" borderId="0" xfId="6" applyNumberFormat="1" applyFont="1"/>
    <xf numFmtId="1" fontId="2" fillId="0" borderId="19" xfId="2" applyNumberFormat="1" applyFont="1" applyBorder="1"/>
    <xf numFmtId="37" fontId="2" fillId="0" borderId="19" xfId="3" applyNumberFormat="1" applyFont="1" applyFill="1" applyBorder="1"/>
    <xf numFmtId="37" fontId="2" fillId="0" borderId="20" xfId="3" applyNumberFormat="1" applyFont="1" applyFill="1" applyBorder="1"/>
    <xf numFmtId="4" fontId="2" fillId="12" borderId="23" xfId="3" applyNumberFormat="1" applyFont="1" applyFill="1" applyBorder="1"/>
    <xf numFmtId="1" fontId="2" fillId="0" borderId="20" xfId="1" applyNumberFormat="1" applyFont="1" applyBorder="1"/>
  </cellXfs>
  <cellStyles count="7">
    <cellStyle name="Normal" xfId="0" builtinId="0"/>
    <cellStyle name="Normal 2" xfId="1" xr:uid="{E518BF2A-96AF-4801-AF1B-DF3554E152A7}"/>
    <cellStyle name="Normal_Nova Hut Plan_NEW" xfId="2" xr:uid="{B417AD3D-A087-4162-82A0-5E7013426F87}"/>
    <cellStyle name="Porcentagem 2" xfId="5" xr:uid="{2F7BA69E-3644-43BD-9323-95A58BA97618}"/>
    <cellStyle name="Separador de milhares_Bridge Fevereiro" xfId="3" xr:uid="{B7494935-F528-48B8-8F49-2DA1248D8197}"/>
    <cellStyle name="Separador de milhares_EB_FCSA_Q02ActualxQ03_MRF8" xfId="6" xr:uid="{FFEDEFDD-29F7-4ECF-8548-79170236EBCA}"/>
    <cellStyle name="Vírgula 2" xfId="4" xr:uid="{5423BF20-D258-4C77-851E-FF6935E2C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0</xdr:colOff>
      <xdr:row>46</xdr:row>
      <xdr:rowOff>160020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4AA1FFA6-5CF9-ADBB-E2FA-895F6190C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5240000" cy="8572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Orcamento/2026/Versao%20I/Analise/EBITDA/DRE_2026_Budget_STEP1_Full.xlsx" TargetMode="External"/><Relationship Id="rId1" Type="http://schemas.openxmlformats.org/officeDocument/2006/relationships/externalLinkPath" Target="https://arcelormittal.sharepoint.com/sites/EquipePCFN/Shared%20Documents/General/CRTL-NEGOCIOS/Orcamento/2026/Versao%20I/Analise/EBITDA/DRE_2026_Budget_STEP1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DRE_2026_MRF7.xlsx" TargetMode="External"/><Relationship Id="rId1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DRE_2026_MRF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Orcamento/2026/Versao%20I/Analise/Receita/Pre&#231;o_ex-works_2026_Budget%20com%20PIS_COFINS_Full%20V1.xlsx" TargetMode="External"/><Relationship Id="rId1" Type="http://schemas.openxmlformats.org/officeDocument/2006/relationships/externalLinkPath" Target="https://arcelormittal.sharepoint.com/sites/EquipePCFN/Shared%20Documents/General/CRTL-NEGOCIOS/Orcamento/2026/Versao%20I/Analise/Receita/Pre&#231;o_ex-works_2026_Budget%20com%20PIS_COFINS_Full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Pre&#231;o_ex-works_2026_MRF7%20com%20PIS_COFINS.xlsx" TargetMode="External"/><Relationship Id="rId1" Type="http://schemas.openxmlformats.org/officeDocument/2006/relationships/externalLinkPath" Target="https://arcelormittal.sharepoint.com/sites/EquipePCFN/Shared%20Documents/General/CRTL-NEGOCIOS/Processo%20mensal/2026/06-Junho/Monitoramento/Report/Monthly%20performance/Pre&#231;o_ex-works_2026_MRF7%20com%20PIS_COFIN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celormittal.sharepoint.com/sites/EquipePCFN/Shared%20Documents/General/CRTL-NEGOCIOS/Processo%20mensal/2026/01-Janeiro/Monitoramento/Report/Monthly%20performance/Entradas/Comercial/2026_Budget%20e%20Strategy%202027-30%20-%20FCLATAM%20Shipments%20and%20Prices_PIS%20COFINS.xlsx" TargetMode="External"/><Relationship Id="rId2" Type="http://schemas.microsoft.com/office/2019/04/relationships/externalLinkLongPath" Target="https://arcelormittal.sharepoint.com/sites/EquipePCFN/Shared%20Documents/General/CRTL-NEGOCIOS/Processo%20mensal/2026/01-Janeiro/Monitoramento/Report/Monthly%20performance/Entradas/Comercial/2026_Budget%20e%20Strategy%202027-30%20-%20FCLATAM%20Shipments%20and%20Prices_PIS%20COFINS.xlsx?61E7CB32" TargetMode="External"/><Relationship Id="rId1" Type="http://schemas.openxmlformats.org/officeDocument/2006/relationships/externalLinkPath" Target="file:///\\61E7CB32\2026_Budget%20e%20Strategy%202027-30%20-%20FCLATAM%20Shipments%20and%20Prices_PIS%20COFIN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Orcamento/2026/Versao%20I/Analise/Custos/Cost%20by%20stage/Cost%20by%20Stage%202026%20BUDGET.xlsx" TargetMode="External"/><Relationship Id="rId1" Type="http://schemas.openxmlformats.org/officeDocument/2006/relationships/externalLinkPath" Target="https://arcelormittal.sharepoint.com/sites/EquipePCFN/Shared%20Documents/General/CRTL-NEGOCIOS/Orcamento/2026/Versao%20I/Analise/Custos/Cost%20by%20stage/Cost%20by%20Stage%202026%20BUDGE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Orcamento/2026/Versao%20I/Analise/Custos/Cost%20by%20stage/Cost%20by%20Stage%20Vega_2026%20BUDGET.xlsx" TargetMode="External"/><Relationship Id="rId1" Type="http://schemas.openxmlformats.org/officeDocument/2006/relationships/externalLinkPath" Target="https://arcelormittal.sharepoint.com/sites/EquipePCFN/Shared%20Documents/General/CRTL-NEGOCIOS/Orcamento/2026/Versao%20I/Analise/Custos/Cost%20by%20stage/Cost%20by%20Stage%20Vega_2026%20BUDGE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Processo%20mensal/2026/06-Junho/Monitoramento/Custo%20EBITDA/Custo%20fixo/Report%20saida/EB_FCLATAM_2026_MRF07_%20NonControll.xlsx" TargetMode="External"/><Relationship Id="rId1" Type="http://schemas.openxmlformats.org/officeDocument/2006/relationships/externalLinkPath" Target="https://arcelormittal.sharepoint.com/sites/EquipePCFN/Shared%20Documents/General/CRTL-NEGOCIOS/Processo%20mensal/2026/06-Junho/Monitoramento/Custo%20EBITDA/Custo%20fixo/Report%20saida/EB_FCLATAM_2026_MRF07_%20NonControll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Input%20Price%202026_MRF7%20(sem%20efeito%20c&#226;mbio).xlsx" TargetMode="External"/><Relationship Id="rId2" Type="http://schemas.microsoft.com/office/2019/04/relationships/externalLinkLongPath" Target="https://arcelormittal.sharepoint.com/sites/EquipePCFN/Shared%20Documents/General/CRTL-NEGOCIOS/Processo%20mensal/2026/06-Junho/Monitoramento/Report/Monthly%20performance/Calculo/Bridge/Input%20Price%202026_MRF7%20(sem%20efeito%20c&#226;mbio).xlsx?B96C9641" TargetMode="External"/><Relationship Id="rId1" Type="http://schemas.openxmlformats.org/officeDocument/2006/relationships/externalLinkPath" Target="file:///\\B96C9641\Input%20Price%202026_MRF7%20(sem%20efeito%20c&#226;mbio)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USAGE%202026_MRF7_via%20Breakdown%20sem%20Desp.%20Financ_USD2.xlsx" TargetMode="External"/><Relationship Id="rId2" Type="http://schemas.microsoft.com/office/2019/04/relationships/externalLinkLongPath" Target="https://arcelormittal.sharepoint.com/sites/EquipePCFN/Shared%20Documents/General/CRTL-NEGOCIOS/Processo%20mensal/2026/06-Junho/Monitoramento/Report/Monthly%20performance/Calculo/Bridge/USAGE%202026_MRF7_via%20Breakdown%20sem%20Desp.%20Financ_USD2.xlsx?B96C9641" TargetMode="External"/><Relationship Id="rId1" Type="http://schemas.openxmlformats.org/officeDocument/2006/relationships/externalLinkPath" Target="file:///\\B96C9641\USAGE%202026_MRF7_via%20Breakdown%20sem%20Desp.%20Financ_USD2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Orcamento/2026/Versao%20I/Analise/FCF/2026%20FCF%20OWCR%20Template_Budget.xlsx" TargetMode="External"/><Relationship Id="rId1" Type="http://schemas.openxmlformats.org/officeDocument/2006/relationships/externalLinkPath" Target="https://arcelormittal.sharepoint.com/sites/EquipePCFN/Shared%20Documents/General/CRTL-NEGOCIOS/Orcamento/2026/Versao%20I/Analise/FCF/2026%20FCF%20OWCR%20Template_Budg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Saida/FCF/2026%20FCF%20OWCR%20Template_MRF7.xlsx" TargetMode="External"/><Relationship Id="rId1" Type="http://schemas.openxmlformats.org/officeDocument/2006/relationships/externalLinkPath" Target="https://arcelormittal.sharepoint.com/sites/EquipePCFN/Shared%20Documents/General/CRTL-NEGOCIOS/Processo%20mensal/2026/06-Junho/Monitoramento/Report/Monthly%20performance/Saida/FCF/2026%20FCF%20OWCR%20Template_MRF7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Processo%20mensal/2026/06-Junho/Monitoramento/Custo%20EBITDA/Logistica/Report%20Saida/Report_MRF07_2026.xlsx" TargetMode="External"/><Relationship Id="rId1" Type="http://schemas.openxmlformats.org/officeDocument/2006/relationships/externalLinkPath" Target="https://arcelormittal.sharepoint.com/sites/EquipePCFN/Shared%20Documents/General/CRTL-NEGOCIOS/Processo%20mensal/2026/06-Junho/Monitoramento/Custo%20EBITDA/Logistica/Report%20Saida/Report_MRF07_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celormittal.sharepoint.com/CRTL-NEGOCIOS/Processo%20mensal/2021/12%20Dezembro/Monitoramento/Report/Monthly%20performance/Calculo/Unusual_2021_Actual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Outros%20MRF7%202026.xlsx" TargetMode="External"/><Relationship Id="rId1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Outros%20MRF7%20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EB_FY26_Budget_vs_FY26_MRF7.xlsx" TargetMode="External"/><Relationship Id="rId1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EB_FY26_Budget_vs_FY26_MRF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E"/>
      <sheetName val="DRE SAC"/>
      <sheetName val="DRE SAC (2)"/>
      <sheetName val="Check receita"/>
      <sheetName val="Net interest"/>
      <sheetName val="DRE_2026_Budget_STEP1_Full"/>
    </sheetNames>
    <sheetDataSet>
      <sheetData sheetId="0">
        <row r="1">
          <cell r="C1">
            <v>5.4</v>
          </cell>
          <cell r="O1">
            <v>5.4</v>
          </cell>
        </row>
        <row r="30">
          <cell r="O30">
            <v>632044.04452987516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E"/>
      <sheetName val="DRE SAC"/>
      <sheetName val="DRE SAC (2)"/>
      <sheetName val="Check receita"/>
      <sheetName val="Net interest"/>
      <sheetName val="DRE_2026_MRF7"/>
    </sheetNames>
    <sheetDataSet>
      <sheetData sheetId="0">
        <row r="1">
          <cell r="C1">
            <v>5.3380238095238095</v>
          </cell>
          <cell r="O1">
            <v>5.176214439033191</v>
          </cell>
        </row>
        <row r="30">
          <cell r="O30">
            <v>747692.40087677795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ments &amp; Prices"/>
      <sheetName val="Var"/>
      <sheetName val="Shipments &amp; Prices BRL"/>
      <sheetName val="Var BRL"/>
      <sheetName val="Shipments &amp; Prices PECEM"/>
      <sheetName val="Var PECEM"/>
      <sheetName val="Var PECEM VS BUDGET C2"/>
      <sheetName val="Others"/>
      <sheetName val="OLD VERSION ==&gt;&gt;"/>
      <sheetName val="Shipments &amp; Prices 101125"/>
      <sheetName val="Shipments &amp; Prices 071125"/>
      <sheetName val="Shipments &amp; Prices 051125"/>
      <sheetName val="Shipments &amp; Prices 041125"/>
      <sheetName val="Shipments &amp; Prices 031125"/>
      <sheetName val="Shipments &amp; Prices 311025"/>
      <sheetName val="Shipments &amp; Prices 301025"/>
      <sheetName val="Shipments &amp; Prices Reunião"/>
      <sheetName val="Var_vs_BUDGET Reunião"/>
      <sheetName val="Shipments &amp; Prices PECEM_Budget"/>
      <sheetName val="Resumo"/>
      <sheetName val="DELTA"/>
      <sheetName val="Preço_ex-works_2026_Budget com "/>
      <sheetName val="Var_vs_BUDGET C2"/>
      <sheetName val="Planilha1"/>
    </sheetNames>
    <sheetDataSet>
      <sheetData sheetId="0">
        <row r="2">
          <cell r="C2" t="str">
            <v>JAN</v>
          </cell>
        </row>
        <row r="8">
          <cell r="O8">
            <v>7232.3333553226139</v>
          </cell>
        </row>
        <row r="23">
          <cell r="O23">
            <v>961</v>
          </cell>
        </row>
        <row r="25">
          <cell r="O25">
            <v>31.000000000000004</v>
          </cell>
        </row>
        <row r="28">
          <cell r="O28">
            <v>18</v>
          </cell>
        </row>
        <row r="30">
          <cell r="O30">
            <v>433.46699999999998</v>
          </cell>
        </row>
        <row r="34">
          <cell r="O34">
            <v>85.817959999999999</v>
          </cell>
        </row>
        <row r="35">
          <cell r="O35">
            <v>1438.6813200000001</v>
          </cell>
        </row>
        <row r="36">
          <cell r="O36">
            <v>427.37381000000005</v>
          </cell>
        </row>
        <row r="44">
          <cell r="O44">
            <v>102.99919000000001</v>
          </cell>
        </row>
        <row r="45">
          <cell r="O45">
            <v>0</v>
          </cell>
        </row>
        <row r="48">
          <cell r="O48">
            <v>1.2203923579624538</v>
          </cell>
        </row>
        <row r="49">
          <cell r="O49">
            <v>0.49225999999999998</v>
          </cell>
        </row>
        <row r="51">
          <cell r="O51">
            <v>90.127470395196156</v>
          </cell>
        </row>
        <row r="52">
          <cell r="O52">
            <v>265.32553999999993</v>
          </cell>
        </row>
        <row r="53">
          <cell r="O53">
            <v>110.30197000000001</v>
          </cell>
        </row>
        <row r="61">
          <cell r="O61">
            <v>49.551853244528026</v>
          </cell>
        </row>
        <row r="62">
          <cell r="O62">
            <v>1.0141200000000001</v>
          </cell>
        </row>
        <row r="64">
          <cell r="O64">
            <v>463.69402845894558</v>
          </cell>
        </row>
        <row r="65">
          <cell r="O65">
            <v>416.58470999999997</v>
          </cell>
        </row>
        <row r="66">
          <cell r="O66">
            <v>83.539329999999993</v>
          </cell>
        </row>
        <row r="74">
          <cell r="O74">
            <v>0</v>
          </cell>
        </row>
        <row r="79">
          <cell r="O79">
            <v>181.45709000000002</v>
          </cell>
        </row>
        <row r="80">
          <cell r="O80">
            <v>106.33588</v>
          </cell>
        </row>
        <row r="90">
          <cell r="O90">
            <v>94.231594684142721</v>
          </cell>
        </row>
        <row r="91">
          <cell r="O91">
            <v>7.7375399999999992</v>
          </cell>
        </row>
        <row r="95">
          <cell r="O95">
            <v>0</v>
          </cell>
        </row>
        <row r="97">
          <cell r="O97">
            <v>0</v>
          </cell>
        </row>
        <row r="98">
          <cell r="O98">
            <v>35.399969999999996</v>
          </cell>
        </row>
        <row r="107">
          <cell r="O107">
            <v>3.8163261818387646</v>
          </cell>
        </row>
        <row r="234">
          <cell r="O234">
            <v>4786383.1444585286</v>
          </cell>
        </row>
        <row r="237">
          <cell r="O237">
            <v>501302.49550381646</v>
          </cell>
        </row>
        <row r="239">
          <cell r="O239">
            <v>13984.147709531153</v>
          </cell>
        </row>
        <row r="242">
          <cell r="O242">
            <v>12337.203108910493</v>
          </cell>
        </row>
        <row r="244">
          <cell r="O244">
            <v>209045.75207432153</v>
          </cell>
        </row>
        <row r="248">
          <cell r="O248">
            <v>58479.867441740382</v>
          </cell>
        </row>
        <row r="249">
          <cell r="O249">
            <v>947762.98773640371</v>
          </cell>
        </row>
        <row r="250">
          <cell r="O250">
            <v>322882.68888818083</v>
          </cell>
        </row>
        <row r="258">
          <cell r="O258">
            <v>88497.533327153244</v>
          </cell>
        </row>
        <row r="259">
          <cell r="O259">
            <v>0</v>
          </cell>
        </row>
        <row r="262">
          <cell r="O262">
            <v>1077.5971012541204</v>
          </cell>
        </row>
        <row r="263">
          <cell r="O263">
            <v>159.1550089907945</v>
          </cell>
        </row>
        <row r="265">
          <cell r="O265">
            <v>83099.530956459814</v>
          </cell>
        </row>
        <row r="266">
          <cell r="O266">
            <v>209133.77960682815</v>
          </cell>
        </row>
        <row r="267">
          <cell r="O267">
            <v>91936.738244581138</v>
          </cell>
        </row>
        <row r="275">
          <cell r="O275">
            <v>50444.681277196432</v>
          </cell>
        </row>
        <row r="276">
          <cell r="O276">
            <v>327.88014000273137</v>
          </cell>
        </row>
        <row r="278">
          <cell r="O278">
            <v>484605.98614224436</v>
          </cell>
        </row>
        <row r="279">
          <cell r="O279">
            <v>353590.00083856442</v>
          </cell>
        </row>
        <row r="280">
          <cell r="O280">
            <v>73539.845520442672</v>
          </cell>
        </row>
        <row r="288">
          <cell r="O288">
            <v>0</v>
          </cell>
        </row>
        <row r="293">
          <cell r="O293">
            <v>176561.66966426402</v>
          </cell>
        </row>
        <row r="294">
          <cell r="O294">
            <v>115705.20290064352</v>
          </cell>
        </row>
        <row r="304">
          <cell r="O304">
            <v>121687.95556710853</v>
          </cell>
        </row>
        <row r="305">
          <cell r="O305">
            <v>6566.9969038798772</v>
          </cell>
        </row>
        <row r="309">
          <cell r="O309">
            <v>0</v>
          </cell>
        </row>
        <row r="311">
          <cell r="O311">
            <v>0</v>
          </cell>
        </row>
        <row r="312">
          <cell r="O312">
            <v>33584.623171525105</v>
          </cell>
        </row>
        <row r="321">
          <cell r="O321">
            <v>7146.0046210960845</v>
          </cell>
        </row>
      </sheetData>
      <sheetData sheetId="1"/>
      <sheetData sheetId="2">
        <row r="3">
          <cell r="C3" t="str">
            <v>Budget</v>
          </cell>
        </row>
      </sheetData>
      <sheetData sheetId="3"/>
      <sheetData sheetId="4">
        <row r="3">
          <cell r="C3" t="str">
            <v>Budget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ments &amp; Prices"/>
      <sheetName val="Var"/>
      <sheetName val="Var Trim"/>
      <sheetName val="Var Budget"/>
      <sheetName val="Shipments &amp; Prices BRL"/>
      <sheetName val="Var BRL"/>
      <sheetName val="Shipments &amp; Prices PECEM"/>
      <sheetName val="Var PECEM"/>
      <sheetName val="Shipments &amp; Prices PECEM_Budget"/>
      <sheetName val="Resumo"/>
      <sheetName val="DELTA"/>
    </sheetNames>
    <sheetDataSet>
      <sheetData sheetId="0">
        <row r="8">
          <cell r="C8">
            <v>609.65869231099998</v>
          </cell>
        </row>
        <row r="20">
          <cell r="O20">
            <v>7106.558486627986</v>
          </cell>
        </row>
        <row r="23">
          <cell r="O23">
            <v>966.24786999999992</v>
          </cell>
        </row>
        <row r="25">
          <cell r="O25">
            <v>32.424160000000001</v>
          </cell>
        </row>
        <row r="28">
          <cell r="O28">
            <v>16.529159999999997</v>
          </cell>
        </row>
        <row r="30">
          <cell r="O30">
            <v>197.56682000000006</v>
          </cell>
        </row>
        <row r="34">
          <cell r="O34">
            <v>100.23684017419748</v>
          </cell>
        </row>
        <row r="35">
          <cell r="O35">
            <v>1441.7707359999981</v>
          </cell>
        </row>
        <row r="36">
          <cell r="O36">
            <v>446.35943442400003</v>
          </cell>
        </row>
        <row r="44">
          <cell r="O44">
            <v>90.523857724700008</v>
          </cell>
        </row>
        <row r="45">
          <cell r="O45">
            <v>45.424208000000021</v>
          </cell>
        </row>
        <row r="48">
          <cell r="O48">
            <v>1.887810550681587</v>
          </cell>
        </row>
        <row r="49">
          <cell r="O49">
            <v>4.8473750000000004</v>
          </cell>
        </row>
        <row r="51">
          <cell r="O51">
            <v>95.622293215625149</v>
          </cell>
        </row>
        <row r="52">
          <cell r="O52">
            <v>286.12231839448168</v>
          </cell>
        </row>
        <row r="53">
          <cell r="O53">
            <v>117.39091099999999</v>
          </cell>
        </row>
        <row r="61">
          <cell r="O61">
            <v>41.14852363473107</v>
          </cell>
        </row>
        <row r="62">
          <cell r="O62">
            <v>2.5991210000000002</v>
          </cell>
        </row>
        <row r="64">
          <cell r="O64">
            <v>463.78728951984948</v>
          </cell>
        </row>
        <row r="65">
          <cell r="O65">
            <v>438.61917</v>
          </cell>
        </row>
        <row r="66">
          <cell r="O66">
            <v>76.159621079999994</v>
          </cell>
        </row>
        <row r="74">
          <cell r="O74">
            <v>0</v>
          </cell>
        </row>
        <row r="79">
          <cell r="O79">
            <v>136.27178900000007</v>
          </cell>
        </row>
        <row r="80">
          <cell r="O80">
            <v>88.523367000000007</v>
          </cell>
        </row>
        <row r="90">
          <cell r="O90">
            <v>99.323020800091982</v>
          </cell>
        </row>
        <row r="91">
          <cell r="O91">
            <v>7.661225</v>
          </cell>
        </row>
        <row r="95">
          <cell r="O95">
            <v>10</v>
          </cell>
        </row>
        <row r="97">
          <cell r="O97">
            <v>7.0028800000000002</v>
          </cell>
        </row>
        <row r="98">
          <cell r="O98">
            <v>17.169268000000006</v>
          </cell>
        </row>
        <row r="105">
          <cell r="O105">
            <v>6.8069999999999992E-2</v>
          </cell>
        </row>
        <row r="107">
          <cell r="O107">
            <v>3.5592228948158056</v>
          </cell>
        </row>
        <row r="234">
          <cell r="O234">
            <v>5141089.1266800705</v>
          </cell>
        </row>
        <row r="237">
          <cell r="O237">
            <v>591333.06828905118</v>
          </cell>
        </row>
        <row r="239">
          <cell r="O239">
            <v>15058.548634938072</v>
          </cell>
        </row>
        <row r="242">
          <cell r="O242">
            <v>11582.350728083889</v>
          </cell>
        </row>
        <row r="244">
          <cell r="O244">
            <v>110059.15564535075</v>
          </cell>
        </row>
        <row r="248">
          <cell r="O248">
            <v>72754.902204467857</v>
          </cell>
        </row>
        <row r="249">
          <cell r="O249">
            <v>1000368.2419132253</v>
          </cell>
        </row>
        <row r="250">
          <cell r="O250">
            <v>357030.17069954751</v>
          </cell>
        </row>
        <row r="258">
          <cell r="O258">
            <v>82781.522773033124</v>
          </cell>
        </row>
        <row r="259">
          <cell r="O259">
            <v>32853.85332246733</v>
          </cell>
        </row>
        <row r="262">
          <cell r="O262">
            <v>1769.2316837232268</v>
          </cell>
        </row>
        <row r="263">
          <cell r="O263">
            <v>2925.504307265212</v>
          </cell>
        </row>
        <row r="265">
          <cell r="O265">
            <v>93996.311672251817</v>
          </cell>
        </row>
        <row r="266">
          <cell r="O266">
            <v>241746.33320997993</v>
          </cell>
        </row>
        <row r="267">
          <cell r="O267">
            <v>104733.98687029356</v>
          </cell>
        </row>
        <row r="275">
          <cell r="O275">
            <v>43552.244420957155</v>
          </cell>
        </row>
        <row r="276">
          <cell r="O276">
            <v>1460.9571992026692</v>
          </cell>
        </row>
        <row r="278">
          <cell r="O278">
            <v>509632.21143203217</v>
          </cell>
        </row>
        <row r="279">
          <cell r="O279">
            <v>400262.73771326162</v>
          </cell>
        </row>
        <row r="280">
          <cell r="O280">
            <v>72400.352189393088</v>
          </cell>
        </row>
        <row r="288">
          <cell r="O288">
            <v>0</v>
          </cell>
        </row>
        <row r="293">
          <cell r="O293">
            <v>140038.47507396591</v>
          </cell>
        </row>
        <row r="294">
          <cell r="O294">
            <v>104845.59585986432</v>
          </cell>
        </row>
        <row r="304">
          <cell r="O304">
            <v>137190.05438207291</v>
          </cell>
        </row>
        <row r="305">
          <cell r="O305">
            <v>6281.1182659211427</v>
          </cell>
        </row>
        <row r="309">
          <cell r="O309">
            <v>4812.3641067916824</v>
          </cell>
        </row>
        <row r="311">
          <cell r="O311">
            <v>7055.5294221950217</v>
          </cell>
        </row>
        <row r="312">
          <cell r="O312">
            <v>17289.109208785569</v>
          </cell>
        </row>
        <row r="319">
          <cell r="O319">
            <v>74.254934768838538</v>
          </cell>
        </row>
        <row r="321">
          <cell r="O321">
            <v>7001.7918030268193</v>
          </cell>
        </row>
        <row r="614">
          <cell r="O614">
            <v>997.327082214813</v>
          </cell>
        </row>
        <row r="615">
          <cell r="O615">
            <v>874.38504200000057</v>
          </cell>
        </row>
        <row r="626">
          <cell r="O626">
            <v>515236.507699618</v>
          </cell>
        </row>
        <row r="627">
          <cell r="O627">
            <v>454962.64101453451</v>
          </cell>
        </row>
      </sheetData>
      <sheetData sheetId="1"/>
      <sheetData sheetId="2"/>
      <sheetData sheetId="3"/>
      <sheetData sheetId="4"/>
      <sheetData sheetId="5"/>
      <sheetData sheetId="6">
        <row r="20">
          <cell r="O20">
            <v>3003.1553249999988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UBARÃO_VEGA"/>
      <sheetName val="AM PECÉM"/>
      <sheetName val="AM PECÉM_old"/>
      <sheetName val="CONSOLIDADO"/>
      <sheetName val="Delta_TUBARÃO_VEGA"/>
      <sheetName val="Delta_AM PECÉM"/>
      <sheetName val="Delta_CONSOLIDADO"/>
      <sheetName val="CONSOLIDADO_old"/>
      <sheetName val="Delta"/>
      <sheetName val="Imp-AMT.AMV-MRF vs. Actual Y-1"/>
      <sheetName val="Imp-AMT.AMV-MRF vs. Budget"/>
      <sheetName val="Imp-AMT.AMV-MRF vs. MRF-3"/>
      <sheetName val="Imp-AMT.AMV-MRF vs. MRF-1"/>
      <sheetName val="Resumo Imp-TUBARÃO_VEGA"/>
      <sheetName val="Thinkcell-TUBARÃO_VEGA"/>
      <sheetName val="Imp Ind e AUTO KD TUBARÃO_VEGA"/>
      <sheetName val="Imp-AMP-MRF vs. Actual Y-1_old"/>
      <sheetName val="Imp-AMP-MRF vs. Budget_old"/>
      <sheetName val="Imp-AMP-MRF vs. MRF-3_old"/>
      <sheetName val="Imp-AMP-MRF vs. MRF-1_old"/>
      <sheetName val="Resumo Imp-AM PECÉM"/>
      <sheetName val="Thinkcell-AM PECÉM"/>
      <sheetName val="Resumo Imp-CONSOLIDADO"/>
      <sheetName val="Thinkcell-CONSOLIDADO"/>
      <sheetName val="Resumo Receita"/>
      <sheetName val="Delta Tubarao"/>
    </sheetNames>
    <sheetDataSet>
      <sheetData sheetId="0">
        <row r="614">
          <cell r="O614">
            <v>400</v>
          </cell>
        </row>
        <row r="615">
          <cell r="O615">
            <v>1423.1643800000002</v>
          </cell>
        </row>
        <row r="626">
          <cell r="O626">
            <v>177829.60148671025</v>
          </cell>
        </row>
        <row r="627">
          <cell r="O627">
            <v>645093.37535407988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AAG7P7DG0KrtbSYdu9kS8SlNwSYV7FFuvVzJTqh3hQMr_gZBpvQSrOMeBCl349A" itemId="01ZXZYNBX5T65WFKLPXBFYSQA3GUUU4ARL">
      <xxl21:absoluteUrl r:id="rId2"/>
    </xxl21:alternateUrls>
    <sheetNames>
      <sheetName val="SAPBEXqueriesDefunct"/>
      <sheetName val="SAPBEXfiltersDefunct"/>
      <sheetName val="BExRepositorySheet"/>
      <sheetName val="Macro1"/>
      <sheetName val="Máscara (Divulgação)"/>
      <sheetName val="Mensal MRF"/>
      <sheetName val="Mensal MRF USD2"/>
      <sheetName val="BW MRF"/>
      <sheetName val="BW Check"/>
      <sheetName val="FR at BFs"/>
      <sheetName val="MR at BFs"/>
      <sheetName val="Sinter productivity"/>
      <sheetName val="Passo-a-Passo (Mold Machine)"/>
    </sheetNames>
    <sheetDataSet>
      <sheetData sheetId="0"/>
      <sheetData sheetId="1"/>
      <sheetData sheetId="2"/>
      <sheetData sheetId="3"/>
      <sheetData sheetId="4">
        <row r="13">
          <cell r="F13">
            <v>1244.2857595320868</v>
          </cell>
        </row>
      </sheetData>
      <sheetData sheetId="5">
        <row r="184">
          <cell r="C184">
            <v>1597.4260791551801</v>
          </cell>
        </row>
      </sheetData>
      <sheetData sheetId="6">
        <row r="1">
          <cell r="C1">
            <v>5.4</v>
          </cell>
        </row>
        <row r="259">
          <cell r="T259">
            <v>407.37404902764735</v>
          </cell>
        </row>
        <row r="279">
          <cell r="T279">
            <v>437.21225084963947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AAG7P7DG0KrtbSYdu9kS8SlNwSYV7FFuvVzJTqh3hQMr_gZBpvQSrOMeBCl349A" itemId="01ZXZYNBWBBTHSZYCCZVAYFGC4FXW6TKCL">
      <xxl21:absoluteUrl r:id="rId2"/>
    </xxl21:alternateUrls>
    <sheetNames>
      <sheetName val="Máscara (Divulgação) (BRL)"/>
      <sheetName val="Mensal BRL"/>
      <sheetName val="Mensal USD"/>
      <sheetName val="Transformation 2026 BUDGET"/>
      <sheetName val="Planilha1"/>
      <sheetName val="Cost by Stage 2026 Budget (BRL)"/>
      <sheetName val="Centro de Custo"/>
      <sheetName val="PCID"/>
      <sheetName val="conceitos"/>
      <sheetName val="Acerno_Cache_XXXXX"/>
      <sheetName val="Cost by Stage Vega_2026 BUDGET"/>
    </sheetNames>
    <sheetDataSet>
      <sheetData sheetId="0">
        <row r="6">
          <cell r="C6">
            <v>2444.6245423140999</v>
          </cell>
        </row>
      </sheetData>
      <sheetData sheetId="1">
        <row r="7">
          <cell r="N7">
            <v>2459.9316568761865</v>
          </cell>
        </row>
      </sheetData>
      <sheetData sheetId="2">
        <row r="2">
          <cell r="R2">
            <v>5.4000000000000012</v>
          </cell>
        </row>
        <row r="21">
          <cell r="R21">
            <v>494.72402405836459</v>
          </cell>
        </row>
        <row r="31">
          <cell r="R31">
            <v>572.56249932596791</v>
          </cell>
        </row>
        <row r="51">
          <cell r="R51">
            <v>592.20465813842532</v>
          </cell>
        </row>
        <row r="61">
          <cell r="R61">
            <v>663.85930953456682</v>
          </cell>
        </row>
        <row r="71">
          <cell r="R71">
            <v>572.84269131951839</v>
          </cell>
        </row>
      </sheetData>
      <sheetData sheetId="3">
        <row r="2">
          <cell r="R2">
            <v>5.4000000000000012</v>
          </cell>
        </row>
      </sheetData>
      <sheetData sheetId="4"/>
      <sheetData sheetId="5"/>
      <sheetData sheetId="6">
        <row r="10">
          <cell r="I10">
            <v>2903.9978512920502</v>
          </cell>
        </row>
      </sheetData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mentários"/>
      <sheetName val="Comentários"/>
      <sheetName val="Act x MRF"/>
      <sheetName val="Lembrar"/>
      <sheetName val="Resumo"/>
      <sheetName val="Q1MRF3xQ1A"/>
      <sheetName val="Boxes KD"/>
      <sheetName val="Q2MRF6xQ226A"/>
      <sheetName val="Q3MRF6xQ3MRF7"/>
      <sheetName val="Q4MRF6xQ4MRF7"/>
      <sheetName val="Q324AxQ325A"/>
      <sheetName val="Q225MRF4xQ225A"/>
      <sheetName val="FYMRF6xFYMRF7"/>
      <sheetName val="Q1MRF2xQ2MRF2"/>
      <sheetName val="Q325AxQ425A"/>
      <sheetName val="Q125MRF1xQ125A"/>
      <sheetName val="Q424AxQ425A"/>
      <sheetName val="FY24AxFY25A"/>
      <sheetName val="Q425AxQ126A"/>
      <sheetName val="Q126AxQ226A"/>
      <sheetName val="Q126BxQ126A"/>
      <sheetName val="Q125AxQ126A"/>
      <sheetName val="Q125AxQ225A"/>
      <sheetName val="Q126MRF1xQ126A"/>
      <sheetName val="Q226MRF1xQ226MRF3"/>
      <sheetName val="Q226MRF1xQ226MRF4"/>
      <sheetName val="Q226AxQ326MRF7"/>
      <sheetName val="FYB26xFYMRF7"/>
      <sheetName val="Q225AxQ226A"/>
      <sheetName val="FY25AxFYMRF7"/>
      <sheetName val="Q2MRF4xQ226A"/>
      <sheetName val="Q3MRF4xQ3MRF7"/>
      <sheetName val="USD 2026_Budget"/>
      <sheetName val="Classificação"/>
    </sheetNames>
    <sheetDataSet>
      <sheetData sheetId="0" refreshError="1"/>
      <sheetData sheetId="1">
        <row r="5">
          <cell r="C5">
            <v>4.1533914036623836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7">
          <cell r="L7">
            <v>2.0268528057406714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9">
          <cell r="D9">
            <v>74720.286441742122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9">
          <cell r="D9">
            <v>90162.499929681682</v>
          </cell>
        </row>
      </sheetData>
      <sheetData sheetId="27">
        <row r="9">
          <cell r="D9">
            <v>287356.77618344419</v>
          </cell>
          <cell r="G9">
            <v>328520.71621950075</v>
          </cell>
        </row>
        <row r="10">
          <cell r="D10">
            <v>162910.37548555571</v>
          </cell>
          <cell r="G10">
            <v>173542.33833959477</v>
          </cell>
        </row>
        <row r="11">
          <cell r="D11">
            <v>455.31968888888878</v>
          </cell>
          <cell r="G11">
            <v>476.59812750037719</v>
          </cell>
        </row>
        <row r="12">
          <cell r="D12">
            <v>36445.369559722225</v>
          </cell>
          <cell r="G12">
            <v>39593.698560860154</v>
          </cell>
        </row>
        <row r="13">
          <cell r="D13">
            <v>4329.6571425925922</v>
          </cell>
          <cell r="G13">
            <v>4366.7997161010962</v>
          </cell>
        </row>
        <row r="14">
          <cell r="D14">
            <v>0</v>
          </cell>
          <cell r="G14">
            <v>0</v>
          </cell>
        </row>
        <row r="15">
          <cell r="D15">
            <v>3800.2258148148148</v>
          </cell>
          <cell r="G15">
            <v>4339.9682851539674</v>
          </cell>
        </row>
        <row r="16">
          <cell r="D16">
            <v>133766.87453033309</v>
          </cell>
          <cell r="G16">
            <v>137770.91554820424</v>
          </cell>
        </row>
        <row r="17">
          <cell r="D17">
            <v>57260.893387037046</v>
          </cell>
          <cell r="G17">
            <v>56306.50454336941</v>
          </cell>
        </row>
        <row r="23">
          <cell r="B23">
            <v>5.4000000000000012</v>
          </cell>
        </row>
        <row r="24">
          <cell r="B24">
            <v>5.1737454093663775</v>
          </cell>
        </row>
        <row r="34">
          <cell r="D34">
            <v>0</v>
          </cell>
          <cell r="G34">
            <v>206.23481164502741</v>
          </cell>
        </row>
        <row r="35">
          <cell r="D35">
            <v>3145.6842592592589</v>
          </cell>
          <cell r="G35">
            <v>7425.0419789498919</v>
          </cell>
        </row>
      </sheetData>
      <sheetData sheetId="28" refreshError="1"/>
      <sheetData sheetId="29" refreshError="1"/>
      <sheetData sheetId="30">
        <row r="9">
          <cell r="D9">
            <v>79474.487183800622</v>
          </cell>
        </row>
      </sheetData>
      <sheetData sheetId="31">
        <row r="9">
          <cell r="D9">
            <v>70187.077438006236</v>
          </cell>
        </row>
      </sheetData>
      <sheetData sheetId="32" refreshError="1"/>
      <sheetData sheetId="3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nth"/>
      <sheetName val="Q1_MRF"/>
      <sheetName val="Q2_MRF"/>
      <sheetName val="Q3_MRF"/>
      <sheetName val="Q4_MRF"/>
      <sheetName val="FY_MRF"/>
      <sheetName val="Comentários KD"/>
      <sheetName val="Análise Impactos"/>
      <sheetName val="Q1_Budget"/>
      <sheetName val="Q2_Budget"/>
      <sheetName val="Q3_Budget"/>
      <sheetName val="Q4_Budget"/>
      <sheetName val="FY_Budget"/>
      <sheetName val="Minério"/>
      <sheetName val="S26_SP24 x FY26B"/>
      <sheetName val="Q4'25AxQ1'26A"/>
      <sheetName val="Q1'26AxQ2'26A"/>
      <sheetName val="Q1'26BxQ1'26A"/>
      <sheetName val="Q1'26#1xQ1'26A"/>
      <sheetName val="Q1'25AxQ1'26A"/>
      <sheetName val="Q2'26AxQ3'26#7"/>
      <sheetName val="Q2'25AxQ2'26A"/>
      <sheetName val="Q2'26#4xQ2'26A"/>
      <sheetName val="Q3'26#4xQ3'26#7"/>
      <sheetName val="FY'25AxFY'26#7"/>
      <sheetName val="FY'25#4xFY'26#7"/>
      <sheetName val="Base_MRF"/>
      <sheetName val="Base_Budget"/>
      <sheetName val="Base_MRF_trimestral"/>
      <sheetName val="Base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1">
          <cell r="K11">
            <v>192.44907581258099</v>
          </cell>
          <cell r="N11">
            <v>0.39731562421943001</v>
          </cell>
          <cell r="O11">
            <v>209.830332011846</v>
          </cell>
        </row>
        <row r="12">
          <cell r="K12">
            <v>193.47907998159599</v>
          </cell>
          <cell r="N12">
            <v>0.27102848197245</v>
          </cell>
          <cell r="O12">
            <v>218.48672314443101</v>
          </cell>
        </row>
        <row r="13">
          <cell r="K13">
            <v>0</v>
          </cell>
          <cell r="N13">
            <v>0</v>
          </cell>
          <cell r="O13">
            <v>0</v>
          </cell>
        </row>
        <row r="14">
          <cell r="K14">
            <v>312.92944510136499</v>
          </cell>
          <cell r="N14">
            <v>1.407606697906E-2</v>
          </cell>
          <cell r="O14">
            <v>340.61822721504302</v>
          </cell>
        </row>
        <row r="16">
          <cell r="K16">
            <v>72.724805563142596</v>
          </cell>
          <cell r="N16">
            <v>0.50546147907213002</v>
          </cell>
          <cell r="O16">
            <v>75.803893593564496</v>
          </cell>
        </row>
        <row r="17">
          <cell r="K17">
            <v>121.438930180537</v>
          </cell>
          <cell r="N17">
            <v>0.78699859872350997</v>
          </cell>
          <cell r="O17">
            <v>128.95792596468499</v>
          </cell>
        </row>
        <row r="18">
          <cell r="K18">
            <v>82.183924470554302</v>
          </cell>
          <cell r="N18">
            <v>0.2207053984765</v>
          </cell>
          <cell r="O18">
            <v>83.470247491985404</v>
          </cell>
        </row>
        <row r="38">
          <cell r="M38">
            <v>6970285.6600000001</v>
          </cell>
        </row>
      </sheetData>
      <sheetData sheetId="13" refreshError="1"/>
      <sheetData sheetId="14" refreshError="1"/>
      <sheetData sheetId="15" refreshError="1"/>
      <sheetData sheetId="16">
        <row r="11">
          <cell r="K11">
            <v>201.230872622715</v>
          </cell>
        </row>
      </sheetData>
      <sheetData sheetId="17" refreshError="1"/>
      <sheetData sheetId="18" refreshError="1"/>
      <sheetData sheetId="19">
        <row r="11">
          <cell r="K11">
            <v>216.12788890497501</v>
          </cell>
        </row>
      </sheetData>
      <sheetData sheetId="20" refreshError="1"/>
      <sheetData sheetId="21">
        <row r="11">
          <cell r="K11">
            <v>201.354865410896</v>
          </cell>
        </row>
      </sheetData>
      <sheetData sheetId="22" refreshError="1"/>
      <sheetData sheetId="23" refreshError="1"/>
      <sheetData sheetId="24">
        <row r="11">
          <cell r="K11">
            <v>200.62322307501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ExRepositorySheet"/>
      <sheetName val="USAGE TIMELINE"/>
      <sheetName val="Base SAC"/>
      <sheetName val="Ajustes manuais"/>
      <sheetName val="Key drivers"/>
      <sheetName val="Bridges complementares"/>
      <sheetName val="Bridges IP"/>
      <sheetName val="Base_complementar"/>
      <sheetName val="RACIONAL GN"/>
      <sheetName val="RACIONAL ENERGY"/>
      <sheetName val="FLUX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E5" t="str">
            <v>Operational performance</v>
          </cell>
        </row>
        <row r="17">
          <cell r="F17">
            <v>-12.829343372386798</v>
          </cell>
        </row>
      </sheetData>
      <sheetData sheetId="6">
        <row r="6">
          <cell r="C6">
            <v>-6.85</v>
          </cell>
          <cell r="U6">
            <v>-12.014339143844159</v>
          </cell>
        </row>
        <row r="7">
          <cell r="U7">
            <v>-11.03</v>
          </cell>
        </row>
        <row r="8">
          <cell r="U8">
            <v>-7.03</v>
          </cell>
        </row>
        <row r="9">
          <cell r="U9">
            <v>0.20690204446817884</v>
          </cell>
        </row>
        <row r="10">
          <cell r="U10">
            <v>-2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com.sap.ip.bi.xl.hiddensheet"/>
      <sheetName val="FCF &amp; OWCR - BUDGET"/>
      <sheetName val="Slide FCF"/>
      <sheetName val="KPI's - Budget"/>
      <sheetName val="FCF &amp; OWCR - BUDGET_WO_AMS"/>
      <sheetName val="Gráfico"/>
      <sheetName val="MRF10'25 x Budget'26"/>
      <sheetName val="Historico FCF"/>
      <sheetName val="2026 FCF OWCR Template_Budget"/>
      <sheetName val="Planilha1"/>
    </sheetNames>
    <sheetDataSet>
      <sheetData sheetId="0"/>
      <sheetData sheetId="1">
        <row r="15">
          <cell r="B15">
            <v>1615.029</v>
          </cell>
        </row>
        <row r="332">
          <cell r="Z332">
            <v>19.00374781556814</v>
          </cell>
        </row>
      </sheetData>
      <sheetData sheetId="2"/>
      <sheetData sheetId="3">
        <row r="5">
          <cell r="H5">
            <v>1687.8534829999999</v>
          </cell>
        </row>
      </sheetData>
      <sheetData sheetId="4">
        <row r="15">
          <cell r="F15">
            <v>6669.5806060000004</v>
          </cell>
        </row>
      </sheetData>
      <sheetData sheetId="5"/>
      <sheetData sheetId="6"/>
      <sheetData sheetId="7"/>
      <sheetData sheetId="8" refreshError="1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com.sap.ip.bi.xl.hiddensheet"/>
      <sheetName val="FCF &amp; OWCR - BUDGET"/>
      <sheetName val="FCF &amp; OWCR - BUDGET_WO_AMS"/>
      <sheetName val="BASE_BI"/>
    </sheetNames>
    <sheetDataSet>
      <sheetData sheetId="0" refreshError="1"/>
      <sheetData sheetId="1">
        <row r="15">
          <cell r="B15">
            <v>1615.029</v>
          </cell>
        </row>
        <row r="332">
          <cell r="Z332">
            <v>25.568069540774438</v>
          </cell>
        </row>
      </sheetData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tos_USD_BUD26"/>
      <sheetName val="Mascara_cst_Total"/>
      <sheetName val="Mascara_cst_Var"/>
      <sheetName val="Mascara_cst_Fixo"/>
      <sheetName val="Vol Terceiros MRF6 x MRF7"/>
      <sheetName val="analise var_26"/>
      <sheetName val="SAIDA"/>
      <sheetName val="BOX Logística"/>
      <sheetName val="Contrato_USD_MRF07_26"/>
      <sheetName val="pagamento_mes 26"/>
      <sheetName val="Volume_MRF07_2026"/>
      <sheetName val="Volume_MRF07_26"/>
      <sheetName val="Volume_MRF01_26_Realizado"/>
      <sheetName val="Volume_MRF2024"/>
      <sheetName val="Volume_Budget26"/>
      <sheetName val="Volume_Budget_26_"/>
      <sheetName val="MRF_2024"/>
      <sheetName val="BW_24"/>
      <sheetName val="BW_25"/>
      <sheetName val="MRF_2025"/>
      <sheetName val="BW_26"/>
      <sheetName val="MRF_2026"/>
      <sheetName val="BW_Bud26"/>
      <sheetName val="Budget_26"/>
      <sheetName val="Visão Logística"/>
      <sheetName val="estrutura_nova"/>
      <sheetName val="Ajustes - BW_2026"/>
      <sheetName val="Analise ajuste manual "/>
      <sheetName val="Conciliação"/>
      <sheetName val="Sugestão"/>
      <sheetName val="Efeito cambio"/>
      <sheetName val="Prints BW"/>
    </sheetNames>
    <sheetDataSet>
      <sheetData sheetId="0"/>
      <sheetData sheetId="1"/>
      <sheetData sheetId="2">
        <row r="41">
          <cell r="W41">
            <v>775.88619325946024</v>
          </cell>
        </row>
      </sheetData>
      <sheetData sheetId="3"/>
      <sheetData sheetId="4"/>
      <sheetData sheetId="5"/>
      <sheetData sheetId="6">
        <row r="14">
          <cell r="I14">
            <v>-5.7640203629386235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cos"/>
      <sheetName val="Unusual USD"/>
    </sheetNames>
    <sheetDataSet>
      <sheetData sheetId="0"/>
      <sheetData sheetId="1">
        <row r="5">
          <cell r="O5">
            <v>-4426264.8566183131</v>
          </cell>
        </row>
        <row r="6">
          <cell r="B6" t="str">
            <v>Non Steel</v>
          </cell>
        </row>
        <row r="7">
          <cell r="B7" t="str">
            <v>Reintegra</v>
          </cell>
        </row>
        <row r="8">
          <cell r="B8" t="str">
            <v>Sucatamento</v>
          </cell>
        </row>
        <row r="10">
          <cell r="B10" t="str">
            <v>Legal contingency</v>
          </cell>
        </row>
        <row r="11">
          <cell r="B11" t="str">
            <v>Changes on tax (Lei Cabral)</v>
          </cell>
        </row>
        <row r="14">
          <cell r="B14" t="str">
            <v>Cost contingency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/>
      <sheetData sheetId="1">
        <row r="7">
          <cell r="C7">
            <v>0.86658037413524747</v>
          </cell>
          <cell r="D7">
            <v>0.88947656912481576</v>
          </cell>
          <cell r="E7">
            <v>1.6457517207104755</v>
          </cell>
          <cell r="F7">
            <v>1.9409908495303581</v>
          </cell>
          <cell r="G7">
            <v>1.9098272187330692</v>
          </cell>
          <cell r="H7">
            <v>0.39193860251303203</v>
          </cell>
        </row>
        <row r="15">
          <cell r="C15">
            <v>8.1782598285178803E-18</v>
          </cell>
          <cell r="D15">
            <v>-1.8666682476757568E-2</v>
          </cell>
          <cell r="E15">
            <v>-0.83918105997746228</v>
          </cell>
          <cell r="F15">
            <v>-0.20533205048603537</v>
          </cell>
          <cell r="G15">
            <v>7.4457499111775334E-17</v>
          </cell>
          <cell r="H15">
            <v>1.2129730276098403</v>
          </cell>
        </row>
        <row r="20">
          <cell r="C20">
            <v>1.4130593341570135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1.0328423023987963</v>
          </cell>
        </row>
        <row r="24">
          <cell r="C24">
            <v>0</v>
          </cell>
          <cell r="D24">
            <v>0</v>
          </cell>
          <cell r="E24">
            <v>-2.0152497688429292</v>
          </cell>
          <cell r="F24">
            <v>0</v>
          </cell>
          <cell r="G24">
            <v>0</v>
          </cell>
          <cell r="H24">
            <v>-0.10686894129774296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álculo"/>
      <sheetName val="Analise mes carvão"/>
      <sheetName val="Box"/>
      <sheetName val="Box (resumo sem AMD)"/>
      <sheetName val="Box (resumo SAIDA)"/>
      <sheetName val="Check BPM"/>
      <sheetName val="BPM"/>
      <sheetName val="Analise mes minério"/>
      <sheetName val="jvS"/>
      <sheetName val="Bridge"/>
      <sheetName val="Box combinado"/>
      <sheetName val="Bridge combinada"/>
      <sheetName val="Bridge Consolidade modelo n (2)"/>
      <sheetName val="Bridge combinada (2)"/>
      <sheetName val="Box combinado (modleo novo)"/>
      <sheetName val="Invest-ES"/>
      <sheetName val="Bridge Book"/>
      <sheetName val="Wanick"/>
      <sheetName val="Box Book"/>
      <sheetName val="Footprint"/>
      <sheetName val="Premissas comercial B21"/>
      <sheetName val="Slab BR FOB"/>
      <sheetName val="SV"/>
      <sheetName val="Mode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P4">
            <v>134784708.51851699</v>
          </cell>
        </row>
        <row r="11">
          <cell r="P11">
            <v>129888144.56308608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3517-FAD5-4219-ADE3-27813D2D467C}">
  <sheetPr>
    <pageSetUpPr fitToPage="1"/>
  </sheetPr>
  <dimension ref="A2:R246"/>
  <sheetViews>
    <sheetView showGridLines="0" tabSelected="1" zoomScale="80" zoomScaleNormal="80" workbookViewId="0">
      <selection activeCell="B151" sqref="B151"/>
    </sheetView>
  </sheetViews>
  <sheetFormatPr defaultColWidth="9.44140625" defaultRowHeight="13.8" x14ac:dyDescent="0.3"/>
  <cols>
    <col min="1" max="1" width="5.5546875" style="1" customWidth="1"/>
    <col min="2" max="2" width="32" style="1" customWidth="1"/>
    <col min="3" max="3" width="13.44140625" style="1" bestFit="1" customWidth="1"/>
    <col min="4" max="4" width="9.44140625" style="1" customWidth="1"/>
    <col min="5" max="5" width="16.44140625" style="1" bestFit="1" customWidth="1"/>
    <col min="6" max="6" width="13.44140625" style="1" bestFit="1" customWidth="1"/>
    <col min="7" max="7" width="14.44140625" style="1" bestFit="1" customWidth="1"/>
    <col min="8" max="8" width="16.44140625" style="1" bestFit="1" customWidth="1"/>
    <col min="9" max="9" width="10.5546875" style="1" customWidth="1"/>
    <col min="10" max="10" width="14.5546875" style="1" customWidth="1"/>
    <col min="11" max="11" width="16.5546875" style="1" bestFit="1" customWidth="1"/>
    <col min="12" max="12" width="13.44140625" style="2" bestFit="1" customWidth="1"/>
    <col min="13" max="13" width="14.44140625" style="2" customWidth="1"/>
    <col min="14" max="14" width="10.44140625" style="2" bestFit="1" customWidth="1"/>
    <col min="15" max="15" width="14.44140625" style="2" bestFit="1" customWidth="1"/>
    <col min="16" max="16" width="11.5546875" style="2" customWidth="1"/>
    <col min="17" max="17" width="17.5546875" style="2" customWidth="1"/>
    <col min="18" max="18" width="6.5546875" style="1" bestFit="1" customWidth="1"/>
    <col min="19" max="16384" width="9.44140625" style="1"/>
  </cols>
  <sheetData>
    <row r="2" spans="2:17" ht="14.4" thickBot="1" x14ac:dyDescent="0.35">
      <c r="C2" s="6" t="s">
        <v>0</v>
      </c>
      <c r="H2" s="7"/>
      <c r="J2" s="8"/>
    </row>
    <row r="3" spans="2:17" ht="14.4" thickBot="1" x14ac:dyDescent="0.35">
      <c r="B3" s="10" t="str">
        <f>"EBITDA "&amp;D15</f>
        <v>EBITDA FY26'B</v>
      </c>
      <c r="C3" s="11">
        <f>[1]DRE!$O$30/1000</f>
        <v>632.04404452987512</v>
      </c>
      <c r="E3" s="6" t="s">
        <v>1</v>
      </c>
      <c r="F3" s="6" t="s">
        <v>2</v>
      </c>
      <c r="H3" s="7"/>
      <c r="L3" s="1"/>
      <c r="M3" s="12" t="s">
        <v>3</v>
      </c>
    </row>
    <row r="4" spans="2:17" ht="14.4" thickBot="1" x14ac:dyDescent="0.35">
      <c r="B4" s="13" t="s">
        <v>4</v>
      </c>
      <c r="C4" s="14">
        <f>SUM(E4:F4)</f>
        <v>70.572858606569</v>
      </c>
      <c r="D4" s="1">
        <v>26.209988867843755</v>
      </c>
      <c r="E4" s="15">
        <f>J153/1000</f>
        <v>70.572858606569</v>
      </c>
      <c r="F4" s="15">
        <f t="shared" ref="F4:F12" si="0">SUMIF($J$155:$J$181,B4,$I$155:$I$181)/1000</f>
        <v>0</v>
      </c>
      <c r="H4" s="7"/>
      <c r="L4" s="1"/>
      <c r="M4" s="1"/>
    </row>
    <row r="5" spans="2:17" x14ac:dyDescent="0.3">
      <c r="B5" s="13" t="s">
        <v>5</v>
      </c>
      <c r="C5" s="14">
        <f>SUM(E5:F5)</f>
        <v>286.54894369344618</v>
      </c>
      <c r="D5" s="1">
        <v>17.600765289201806</v>
      </c>
      <c r="E5" s="14">
        <f>M48/1000</f>
        <v>286.54894369344618</v>
      </c>
      <c r="F5" s="14">
        <f t="shared" si="0"/>
        <v>0</v>
      </c>
      <c r="H5" s="7"/>
      <c r="J5" s="16" t="s">
        <v>6</v>
      </c>
      <c r="K5" s="17" t="s">
        <v>7</v>
      </c>
      <c r="L5" s="17" t="s">
        <v>8</v>
      </c>
      <c r="M5" s="17" t="s">
        <v>9</v>
      </c>
      <c r="P5" s="16" t="s">
        <v>9</v>
      </c>
      <c r="Q5" s="17" t="s">
        <v>4</v>
      </c>
    </row>
    <row r="6" spans="2:17" x14ac:dyDescent="0.3">
      <c r="B6" s="13" t="s">
        <v>10</v>
      </c>
      <c r="C6" s="14">
        <f>SUM(E6:F6)</f>
        <v>-23.126221100435135</v>
      </c>
      <c r="D6" s="1">
        <v>4.2158521715309583</v>
      </c>
      <c r="E6" s="14">
        <f>L114/1000</f>
        <v>-23.126221100435135</v>
      </c>
      <c r="F6" s="14">
        <f t="shared" si="0"/>
        <v>0</v>
      </c>
      <c r="H6" s="7"/>
      <c r="J6" s="13" t="s">
        <v>11</v>
      </c>
      <c r="K6" s="18">
        <f>SUM(J83,J84,J88,J94,J95,J99,J100,J104)</f>
        <v>364878.97679773503</v>
      </c>
      <c r="L6" s="19">
        <f>SUM(K83,K84,K88,K94,K95,K99,K100,K104)</f>
        <v>4125.2439904765779</v>
      </c>
      <c r="M6" s="19">
        <f>SUM(M17,M18,M22,M28,M29,M33,M34,M38,M44)</f>
        <v>175788.85137264334</v>
      </c>
      <c r="P6" s="19">
        <f>SUM(P17,P18,P22,P28,P29,P33,P34,P38,P44)</f>
        <v>177667.05358633405</v>
      </c>
      <c r="Q6" s="19">
        <f>SUM(Q17,Q18,Q22,Q29,Q34,Q38,Q44)</f>
        <v>0</v>
      </c>
    </row>
    <row r="7" spans="2:17" x14ac:dyDescent="0.3">
      <c r="B7" s="13" t="s">
        <v>12</v>
      </c>
      <c r="C7" s="14">
        <f t="shared" ref="C7:C10" si="1">SUM(E7:F7)</f>
        <v>16.445840378799982</v>
      </c>
      <c r="D7" s="1">
        <v>1.1809201299885572</v>
      </c>
      <c r="E7" s="14">
        <f>I114/1000+I166/1000</f>
        <v>16.445840378799982</v>
      </c>
      <c r="F7" s="14">
        <f t="shared" si="0"/>
        <v>0</v>
      </c>
      <c r="H7" s="7"/>
      <c r="J7" s="13" t="s">
        <v>13</v>
      </c>
      <c r="K7" s="18">
        <f>SUM(J86:J87,J89:J93,J96:J98,J101:J103,J105:J113)</f>
        <v>58125.112507636579</v>
      </c>
      <c r="L7" s="21">
        <f>SUM(K86:K87,K89:K93,K96:K98,K101:K103,K105:K109,K111,K110,K112,K113)</f>
        <v>9448.1481902889682</v>
      </c>
      <c r="M7" s="21">
        <f>SUM(M20:M21,M23:M27,M30:M32,M35:M37,M39:M47)</f>
        <v>52139.578772175795</v>
      </c>
      <c r="P7" s="21">
        <f>SUM(P20:P21,P23:P27,P30:P32,P35:P37,P39:P43,P45,P46,P47)</f>
        <v>193662.29078236088</v>
      </c>
      <c r="Q7" s="21">
        <f>SUM(Q20:Q21,Q23:Q27,Q30:Q32,Q35:Q37,Q39:Q47,Q28,Q33)</f>
        <v>143400.91422387576</v>
      </c>
    </row>
    <row r="8" spans="2:17" ht="14.4" thickBot="1" x14ac:dyDescent="0.35">
      <c r="B8" s="13" t="s">
        <v>14</v>
      </c>
      <c r="C8" s="14">
        <f t="shared" si="1"/>
        <v>-34.290558515169018</v>
      </c>
      <c r="D8" s="1">
        <v>0</v>
      </c>
      <c r="E8" s="14">
        <f>J126/1000</f>
        <v>-34.290558515169018</v>
      </c>
      <c r="F8" s="14">
        <f t="shared" si="0"/>
        <v>0</v>
      </c>
      <c r="H8" s="7"/>
      <c r="J8" s="22" t="s">
        <v>15</v>
      </c>
      <c r="K8" s="23">
        <f>SUM(K6:K7)</f>
        <v>423004.08930537163</v>
      </c>
      <c r="L8" s="23">
        <f>SUM(L6:L7)</f>
        <v>13573.392180765546</v>
      </c>
      <c r="M8" s="23">
        <f>SUM(M6:M7)</f>
        <v>227928.43014481914</v>
      </c>
      <c r="P8" s="23">
        <f>SUM(P6:P7)</f>
        <v>371329.34436869493</v>
      </c>
      <c r="Q8" s="23">
        <f>SUM(Q6:Q7)</f>
        <v>143400.91422387576</v>
      </c>
    </row>
    <row r="9" spans="2:17" x14ac:dyDescent="0.3">
      <c r="B9" s="13" t="s">
        <v>16</v>
      </c>
      <c r="C9" s="14">
        <f t="shared" si="1"/>
        <v>-177.47194678166522</v>
      </c>
      <c r="D9" s="1">
        <v>-60.287403771728009</v>
      </c>
      <c r="E9" s="14">
        <f>J145/1000</f>
        <v>-177.47194678166522</v>
      </c>
      <c r="F9" s="14">
        <f t="shared" si="0"/>
        <v>0</v>
      </c>
      <c r="H9" s="7"/>
      <c r="L9" s="1"/>
      <c r="M9" s="1"/>
      <c r="P9" s="2">
        <f>P8-P48</f>
        <v>-58620.513548626972</v>
      </c>
    </row>
    <row r="10" spans="2:17" x14ac:dyDescent="0.3">
      <c r="B10" s="13" t="s">
        <v>17</v>
      </c>
      <c r="C10" s="14">
        <f t="shared" si="1"/>
        <v>-12.829343372386798</v>
      </c>
      <c r="D10" s="1">
        <v>-3.3109603150171987</v>
      </c>
      <c r="E10" s="14">
        <f>J148/1000</f>
        <v>-12.829343372386798</v>
      </c>
      <c r="F10" s="14">
        <f t="shared" si="0"/>
        <v>0</v>
      </c>
      <c r="H10" s="7"/>
      <c r="J10" s="13" t="s">
        <v>18</v>
      </c>
      <c r="K10" s="18">
        <f>SUM(J86:J87,J90,J93,J97,J102,J105,J108,J91,J98,J103,J106,J110,J111,J112,J113)</f>
        <v>45691.087898479927</v>
      </c>
      <c r="L10" s="21">
        <f>SUM(K86:K87,K90,K93,K97,K102,K105,K108,K91,K98,K103,K106,K111,K110,K112)</f>
        <v>4371.2704046288809</v>
      </c>
      <c r="M10" s="21">
        <f>SUM(M20:M21,M24,M27,M31,M36,M39,M42,M25,M32,M37,M40)+M47+M46+M45</f>
        <v>40156.69740454272</v>
      </c>
      <c r="P10" s="21">
        <f>SUM(P20:P21,P24,P27,P31,P36,P39,P42,P25,P32,P37,P40,P45)</f>
        <v>144239.62716650084</v>
      </c>
      <c r="Q10" s="21">
        <f>SUM(Q20:Q21,Q24,Q27,Q31,Q36,Q39,Q42:Q47,Q25,Q32,Q37,Q40)-Q43</f>
        <v>104082.92976195813</v>
      </c>
    </row>
    <row r="11" spans="2:17" x14ac:dyDescent="0.3">
      <c r="B11" s="13" t="s">
        <v>19</v>
      </c>
      <c r="C11" s="14">
        <f>SUM(E11:F11)</f>
        <v>-5.7640203629386235</v>
      </c>
      <c r="D11" s="1">
        <v>-2.376184957333686</v>
      </c>
      <c r="E11" s="14"/>
      <c r="F11" s="14">
        <f t="shared" si="0"/>
        <v>-5.7640203629386235</v>
      </c>
      <c r="G11" s="24"/>
      <c r="H11" s="24"/>
      <c r="J11" s="13" t="s">
        <v>20</v>
      </c>
      <c r="K11" s="18">
        <f>SUM(J89,J92,J96,J101,J107,J109)</f>
        <v>12434.024609156653</v>
      </c>
      <c r="L11" s="21">
        <f>SUM(K89,K92,K96,K101,K107,K109)</f>
        <v>5076.8777856600918</v>
      </c>
      <c r="M11" s="21">
        <f>SUM(M23,M26,M30,M35,M41,M43)</f>
        <v>11982.881367633079</v>
      </c>
      <c r="N11" s="20"/>
      <c r="P11" s="21">
        <f>SUM(P23,P26,P30,P35,P41,P43)</f>
        <v>49422.663615860001</v>
      </c>
      <c r="Q11" s="21">
        <f>SUM(Q23,Q26,Q30,Q35,Q41,Q43,Q28,Q33)</f>
        <v>39317.984461917622</v>
      </c>
    </row>
    <row r="12" spans="2:17" ht="14.4" thickBot="1" x14ac:dyDescent="0.35">
      <c r="B12" s="25" t="s">
        <v>21</v>
      </c>
      <c r="C12" s="26">
        <f>C13-SUM(C3:C11)</f>
        <v>-4.4371961993175546</v>
      </c>
      <c r="D12" s="1">
        <v>-25.205746992002787</v>
      </c>
      <c r="E12" s="27"/>
      <c r="F12" s="27">
        <f t="shared" si="0"/>
        <v>-3.8604224595991945</v>
      </c>
      <c r="G12" s="24"/>
      <c r="H12" s="24"/>
      <c r="J12" s="28" t="s">
        <v>22</v>
      </c>
      <c r="K12" s="28">
        <f>K7-K10-K11</f>
        <v>0</v>
      </c>
      <c r="L12" s="28">
        <f>L7-L10-L11</f>
        <v>0</v>
      </c>
      <c r="M12" s="28">
        <f>M7-M10-M11</f>
        <v>0</v>
      </c>
      <c r="P12" s="28">
        <f>P7-P10-P11</f>
        <v>0</v>
      </c>
      <c r="Q12" s="28">
        <f>Q7-Q10-Q11</f>
        <v>0</v>
      </c>
    </row>
    <row r="13" spans="2:17" ht="14.4" thickBot="1" x14ac:dyDescent="0.35">
      <c r="B13" s="30" t="str">
        <f>"EBITDA "&amp;G15</f>
        <v>EBITDA FY26'F7</v>
      </c>
      <c r="C13" s="11">
        <f>[2]DRE!$O$30/1000</f>
        <v>747.69240087677792</v>
      </c>
      <c r="D13" s="31"/>
      <c r="E13" s="32"/>
      <c r="F13" s="33">
        <f>F48-F14</f>
        <v>0</v>
      </c>
      <c r="G13" s="33"/>
      <c r="H13" s="33"/>
      <c r="J13" s="34" t="s">
        <v>23</v>
      </c>
      <c r="K13" s="35">
        <f>SUM(H24:H25,H27,H31:H32,H36:H37,H39:H40,H42)</f>
        <v>2460560.8651179196</v>
      </c>
    </row>
    <row r="14" spans="2:17" ht="14.4" thickBot="1" x14ac:dyDescent="0.35">
      <c r="B14" s="36"/>
      <c r="C14" s="37">
        <f>'[3]Shipments &amp; Prices'!$O$8*1000-C48</f>
        <v>-0.37999999988824129</v>
      </c>
      <c r="D14" s="38"/>
      <c r="E14" s="39">
        <f>E48-'[3]Shipments &amp; Prices'!$O$234</f>
        <v>0.1558373998850584</v>
      </c>
      <c r="F14" s="37">
        <f>'[4]Shipments &amp; Prices'!$O$20*1000</f>
        <v>7106558.4866279857</v>
      </c>
      <c r="G14" s="40"/>
      <c r="H14" s="41">
        <f>'[4]Shipments &amp; Prices'!$O$234-H48</f>
        <v>0</v>
      </c>
      <c r="I14" s="36"/>
      <c r="J14" s="42" t="s">
        <v>24</v>
      </c>
      <c r="K14" s="43">
        <f>SUM(H23,H26,H30,H35,H41,H43,H20,H21)</f>
        <v>930071.94856467552</v>
      </c>
    </row>
    <row r="15" spans="2:17" ht="14.4" thickBot="1" x14ac:dyDescent="0.35">
      <c r="B15" s="36"/>
      <c r="C15" s="44"/>
      <c r="D15" s="45" t="s">
        <v>25</v>
      </c>
      <c r="E15" s="46"/>
      <c r="F15" s="47"/>
      <c r="G15" s="45" t="s">
        <v>26</v>
      </c>
      <c r="H15" s="48"/>
      <c r="K15" s="49"/>
      <c r="N15" s="50"/>
      <c r="O15" s="50"/>
      <c r="P15" s="50"/>
      <c r="Q15" s="50"/>
    </row>
    <row r="16" spans="2:17" x14ac:dyDescent="0.3">
      <c r="B16" s="51" t="s">
        <v>27</v>
      </c>
      <c r="C16" s="52" t="s">
        <v>28</v>
      </c>
      <c r="D16" s="53" t="s">
        <v>29</v>
      </c>
      <c r="E16" s="17" t="s">
        <v>30</v>
      </c>
      <c r="F16" s="52" t="s">
        <v>28</v>
      </c>
      <c r="G16" s="53" t="s">
        <v>29</v>
      </c>
      <c r="H16" s="17" t="s">
        <v>30</v>
      </c>
      <c r="I16" s="16" t="s">
        <v>31</v>
      </c>
      <c r="J16" s="17" t="s">
        <v>32</v>
      </c>
      <c r="K16" s="17" t="s">
        <v>33</v>
      </c>
      <c r="L16" s="17" t="s">
        <v>34</v>
      </c>
      <c r="M16" s="17" t="s">
        <v>9</v>
      </c>
      <c r="O16" s="16" t="s">
        <v>33</v>
      </c>
      <c r="P16" s="17" t="s">
        <v>9</v>
      </c>
      <c r="Q16" s="17" t="s">
        <v>4</v>
      </c>
    </row>
    <row r="17" spans="2:18" x14ac:dyDescent="0.3">
      <c r="B17" s="13" t="s">
        <v>35</v>
      </c>
      <c r="C17" s="54">
        <f>'[3]Shipments &amp; Prices'!$O$23*1000</f>
        <v>961000</v>
      </c>
      <c r="D17" s="55">
        <f t="shared" ref="D17:D45" si="2">IF(ISERROR((+E17/C17)*1000),0,(+E17/C17)*1000)</f>
        <v>521.6467174857612</v>
      </c>
      <c r="E17" s="56">
        <f>'[3]Shipments &amp; Prices'!$O$237</f>
        <v>501302.49550381646</v>
      </c>
      <c r="F17" s="54">
        <f>'[4]Shipments &amp; Prices'!$O$23*1000</f>
        <v>966247.86999999988</v>
      </c>
      <c r="G17" s="55">
        <f t="shared" ref="G17:G46" si="3">IF(ISERROR((+H17/F17)*1000),0,(+H17/F17)*1000)</f>
        <v>611.98900059572838</v>
      </c>
      <c r="H17" s="56">
        <f>'[4]Shipments &amp; Prices'!$O$237</f>
        <v>591333.06828905118</v>
      </c>
      <c r="I17" s="18">
        <f t="shared" ref="I17:I47" si="4">(F17-J17)*D17/1000</f>
        <v>11455.528703057071</v>
      </c>
      <c r="J17" s="18">
        <f t="shared" ref="J17:J47" si="5">$F$48*C17/$C$48</f>
        <v>944287.5502681504</v>
      </c>
      <c r="K17" s="18">
        <f>G17-D17</f>
        <v>90.342283109967184</v>
      </c>
      <c r="L17" s="57"/>
      <c r="M17" s="19">
        <f>K17*F17/1000</f>
        <v>87293.038625942747</v>
      </c>
      <c r="O17" s="18">
        <f t="shared" ref="O17:O47" si="6">G17-D17</f>
        <v>90.342283109967184</v>
      </c>
      <c r="P17" s="19">
        <f t="shared" ref="P17:P47" si="7">O17*F17/1000</f>
        <v>87293.038625942747</v>
      </c>
      <c r="Q17" s="19">
        <f t="shared" ref="Q17:Q47" si="8">P17-M17</f>
        <v>0</v>
      </c>
    </row>
    <row r="18" spans="2:18" x14ac:dyDescent="0.3">
      <c r="B18" s="13" t="s">
        <v>36</v>
      </c>
      <c r="C18" s="54">
        <f>[5]TUBARÃO_VEGA!$O$614*1000</f>
        <v>400000</v>
      </c>
      <c r="D18" s="55">
        <f t="shared" si="2"/>
        <v>444.57400371677562</v>
      </c>
      <c r="E18" s="56">
        <f>[5]TUBARÃO_VEGA!$O$626</f>
        <v>177829.60148671025</v>
      </c>
      <c r="F18" s="54">
        <f>'[4]Shipments &amp; Prices'!$O$614*1000</f>
        <v>997327.08221481298</v>
      </c>
      <c r="G18" s="55">
        <f t="shared" si="3"/>
        <v>516.61738349209077</v>
      </c>
      <c r="H18" s="56">
        <f>'[4]Shipments &amp; Prices'!$O$626</f>
        <v>515236.507699618</v>
      </c>
      <c r="I18" s="18">
        <f t="shared" si="4"/>
        <v>268648.67131956422</v>
      </c>
      <c r="J18" s="18">
        <f t="shared" si="5"/>
        <v>393043.72539777332</v>
      </c>
      <c r="K18" s="18">
        <f>G18-D18</f>
        <v>72.043379775315145</v>
      </c>
      <c r="L18" s="57"/>
      <c r="M18" s="19">
        <f>K18*F18/1000</f>
        <v>71850.813744208717</v>
      </c>
      <c r="O18" s="18">
        <f t="shared" si="6"/>
        <v>72.043379775315145</v>
      </c>
      <c r="P18" s="19">
        <f t="shared" si="7"/>
        <v>71850.813744208717</v>
      </c>
      <c r="Q18" s="19">
        <f t="shared" si="8"/>
        <v>0</v>
      </c>
    </row>
    <row r="19" spans="2:18" x14ac:dyDescent="0.3">
      <c r="B19" s="13" t="s">
        <v>37</v>
      </c>
      <c r="C19" s="54">
        <f>[5]TUBARÃO_VEGA!$O$615*1000</f>
        <v>1423164.3800000001</v>
      </c>
      <c r="D19" s="55">
        <f t="shared" si="2"/>
        <v>453.28100142169086</v>
      </c>
      <c r="E19" s="56">
        <f>[5]TUBARÃO_VEGA!$O$627</f>
        <v>645093.37535407988</v>
      </c>
      <c r="F19" s="54">
        <f>'[4]Shipments &amp; Prices'!$O$615*1000</f>
        <v>874385.0420000006</v>
      </c>
      <c r="G19" s="55">
        <f t="shared" si="3"/>
        <v>520.32299177246705</v>
      </c>
      <c r="H19" s="56">
        <f>'[4]Shipments &amp; Prices'!$O$627</f>
        <v>454962.64101453451</v>
      </c>
      <c r="I19" s="18">
        <f t="shared" si="4"/>
        <v>-237532.63123057163</v>
      </c>
      <c r="J19" s="18">
        <f t="shared" si="5"/>
        <v>1398414.5744215308</v>
      </c>
      <c r="K19" s="18">
        <f>G19-D19</f>
        <v>67.041990350776189</v>
      </c>
      <c r="L19" s="57"/>
      <c r="M19" s="19">
        <f>K19*F19/1000</f>
        <v>58620.513548627074</v>
      </c>
      <c r="O19" s="18">
        <f t="shared" si="6"/>
        <v>67.041990350776189</v>
      </c>
      <c r="P19" s="19">
        <f t="shared" si="7"/>
        <v>58620.513548627074</v>
      </c>
      <c r="Q19" s="19">
        <f t="shared" si="8"/>
        <v>0</v>
      </c>
    </row>
    <row r="20" spans="2:18" x14ac:dyDescent="0.3">
      <c r="B20" s="13" t="s">
        <v>38</v>
      </c>
      <c r="C20" s="54">
        <f>'[3]Shipments &amp; Prices'!$O$25*1000</f>
        <v>31000.000000000004</v>
      </c>
      <c r="D20" s="55">
        <f t="shared" si="2"/>
        <v>451.10153901713392</v>
      </c>
      <c r="E20" s="56">
        <f>'[3]Shipments &amp; Prices'!$O$239</f>
        <v>13984.147709531153</v>
      </c>
      <c r="F20" s="54">
        <f>'[4]Shipments &amp; Prices'!$O$25*1000</f>
        <v>32424.16</v>
      </c>
      <c r="G20" s="55">
        <f t="shared" si="3"/>
        <v>464.42370858452688</v>
      </c>
      <c r="H20" s="56">
        <f>'[4]Shipments &amp; Prices'!$O$239</f>
        <v>15058.548634938072</v>
      </c>
      <c r="I20" s="18">
        <f t="shared" si="4"/>
        <v>885.6346966706335</v>
      </c>
      <c r="J20" s="18">
        <f t="shared" si="5"/>
        <v>30460.888718327438</v>
      </c>
      <c r="K20" s="57"/>
      <c r="L20" s="18">
        <f>(G20*$H$152)-(D20*$E$152)</f>
        <v>-31.991604487952372</v>
      </c>
      <c r="M20" s="21">
        <f>L20*F20/1000/$E$152</f>
        <v>-192.0927597359418</v>
      </c>
      <c r="O20" s="18">
        <f t="shared" si="6"/>
        <v>13.322169567392962</v>
      </c>
      <c r="P20" s="21">
        <f t="shared" si="7"/>
        <v>431.96015760028018</v>
      </c>
      <c r="Q20" s="21">
        <f t="shared" si="8"/>
        <v>624.05291733622198</v>
      </c>
    </row>
    <row r="21" spans="2:18" x14ac:dyDescent="0.3">
      <c r="B21" s="13" t="s">
        <v>39</v>
      </c>
      <c r="C21" s="54">
        <f>'[3]Shipments &amp; Prices'!$O$28*1000</f>
        <v>18000</v>
      </c>
      <c r="D21" s="55">
        <f t="shared" si="2"/>
        <v>685.40017271724957</v>
      </c>
      <c r="E21" s="56">
        <f>'[3]Shipments &amp; Prices'!$O$242</f>
        <v>12337.203108910493</v>
      </c>
      <c r="F21" s="54">
        <f>'[4]Shipments &amp; Prices'!$O$28*1000</f>
        <v>16529.159999999996</v>
      </c>
      <c r="G21" s="55">
        <f t="shared" si="3"/>
        <v>700.72228280710522</v>
      </c>
      <c r="H21" s="56">
        <f>'[4]Shipments &amp; Prices'!$O$242</f>
        <v>11582.350728083889</v>
      </c>
      <c r="I21" s="18">
        <f t="shared" si="4"/>
        <v>-793.56155841687644</v>
      </c>
      <c r="J21" s="18">
        <f t="shared" si="5"/>
        <v>17686.967642899799</v>
      </c>
      <c r="K21" s="57"/>
      <c r="L21" s="18">
        <f>(G21*$H$152)-(D21*$E$152)</f>
        <v>-74.07213465471068</v>
      </c>
      <c r="M21" s="21">
        <f>L21*F21/1000/$E$152</f>
        <v>-226.73151208319578</v>
      </c>
      <c r="O21" s="18">
        <f t="shared" si="6"/>
        <v>15.322110089855641</v>
      </c>
      <c r="P21" s="21">
        <f t="shared" si="7"/>
        <v>253.26160921283824</v>
      </c>
      <c r="Q21" s="21">
        <f t="shared" si="8"/>
        <v>479.99312129603402</v>
      </c>
    </row>
    <row r="22" spans="2:18" x14ac:dyDescent="0.3">
      <c r="B22" s="13" t="s">
        <v>40</v>
      </c>
      <c r="C22" s="54">
        <f>'[3]Shipments &amp; Prices'!$O$30*1000</f>
        <v>433467</v>
      </c>
      <c r="D22" s="55">
        <f t="shared" si="2"/>
        <v>482.26451396374244</v>
      </c>
      <c r="E22" s="56">
        <f>'[3]Shipments &amp; Prices'!$O$244</f>
        <v>209045.75207432153</v>
      </c>
      <c r="F22" s="54">
        <f>'[4]Shipments &amp; Prices'!$O$30*1000</f>
        <v>197566.82000000007</v>
      </c>
      <c r="G22" s="55">
        <f t="shared" si="3"/>
        <v>557.07307353203691</v>
      </c>
      <c r="H22" s="56">
        <f>'[4]Shipments &amp; Prices'!$O$244</f>
        <v>110059.15564535075</v>
      </c>
      <c r="I22" s="18">
        <f t="shared" si="4"/>
        <v>-110130.8365120144</v>
      </c>
      <c r="J22" s="18">
        <f t="shared" si="5"/>
        <v>425928.71129249159</v>
      </c>
      <c r="K22" s="18">
        <f>G22-D22</f>
        <v>74.80855956829447</v>
      </c>
      <c r="L22" s="57"/>
      <c r="M22" s="19">
        <f>K22*F22/1000</f>
        <v>14779.689222688517</v>
      </c>
      <c r="O22" s="18">
        <f t="shared" si="6"/>
        <v>74.80855956829447</v>
      </c>
      <c r="P22" s="19">
        <f t="shared" si="7"/>
        <v>14779.689222688517</v>
      </c>
      <c r="Q22" s="19">
        <f t="shared" si="8"/>
        <v>0</v>
      </c>
      <c r="R22" s="59"/>
    </row>
    <row r="23" spans="2:18" x14ac:dyDescent="0.3">
      <c r="B23" s="13" t="s">
        <v>41</v>
      </c>
      <c r="C23" s="54">
        <f>'[3]Shipments &amp; Prices'!$O$34*1000</f>
        <v>85817.96</v>
      </c>
      <c r="D23" s="55">
        <f t="shared" si="2"/>
        <v>681.44089467682966</v>
      </c>
      <c r="E23" s="56">
        <f>'[3]Shipments &amp; Prices'!$O$248</f>
        <v>58479.867441740382</v>
      </c>
      <c r="F23" s="54">
        <f>'[4]Shipments &amp; Prices'!$O$34*1000</f>
        <v>100236.84017419748</v>
      </c>
      <c r="G23" s="55">
        <f t="shared" si="3"/>
        <v>725.8299650909795</v>
      </c>
      <c r="H23" s="56">
        <f>'[4]Shipments &amp; Prices'!$O$248</f>
        <v>72754.902204467857</v>
      </c>
      <c r="I23" s="18">
        <f t="shared" si="4"/>
        <v>10842.619647709535</v>
      </c>
      <c r="J23" s="18">
        <f t="shared" si="5"/>
        <v>84325.52676109274</v>
      </c>
      <c r="K23" s="57"/>
      <c r="L23" s="18">
        <f t="shared" ref="L23:L28" si="9">(G23*$H$152)-(D23*$E$152)</f>
        <v>77.270714332004445</v>
      </c>
      <c r="M23" s="21">
        <f t="shared" ref="M23:M28" si="10">L23*F23/1000/$E$152</f>
        <v>1434.328193082074</v>
      </c>
      <c r="O23" s="18">
        <f t="shared" si="6"/>
        <v>44.389070414149842</v>
      </c>
      <c r="P23" s="21">
        <f t="shared" si="7"/>
        <v>4449.4201565843359</v>
      </c>
      <c r="Q23" s="21">
        <f t="shared" si="8"/>
        <v>3015.0919635022619</v>
      </c>
      <c r="R23" s="7"/>
    </row>
    <row r="24" spans="2:18" x14ac:dyDescent="0.3">
      <c r="B24" s="13" t="s">
        <v>42</v>
      </c>
      <c r="C24" s="54">
        <f>('[3]Shipments &amp; Prices'!$O$35)*1000</f>
        <v>1438681.32</v>
      </c>
      <c r="D24" s="55">
        <f t="shared" si="2"/>
        <v>658.7720119535602</v>
      </c>
      <c r="E24" s="56">
        <f>'[3]Shipments &amp; Prices'!$O$249</f>
        <v>947762.98773640371</v>
      </c>
      <c r="F24" s="54">
        <f>('[4]Shipments &amp; Prices'!$O$35)*1000</f>
        <v>1441770.7359999982</v>
      </c>
      <c r="G24" s="55">
        <f t="shared" si="3"/>
        <v>693.84695980764207</v>
      </c>
      <c r="H24" s="56">
        <f>'[4]Shipments &amp; Prices'!$O$249</f>
        <v>1000368.2419132253</v>
      </c>
      <c r="I24" s="18">
        <f t="shared" si="4"/>
        <v>18517.469795383251</v>
      </c>
      <c r="J24" s="18">
        <f t="shared" si="5"/>
        <v>1413661.6641824653</v>
      </c>
      <c r="K24" s="57"/>
      <c r="L24" s="18">
        <f t="shared" si="9"/>
        <v>34.131787286373765</v>
      </c>
      <c r="M24" s="21">
        <f t="shared" si="10"/>
        <v>9113.0022364574961</v>
      </c>
      <c r="O24" s="18">
        <f t="shared" si="6"/>
        <v>35.07494785408187</v>
      </c>
      <c r="P24" s="21">
        <f t="shared" si="7"/>
        <v>50570.033382741174</v>
      </c>
      <c r="Q24" s="21">
        <f t="shared" si="8"/>
        <v>41457.031146283676</v>
      </c>
      <c r="R24" s="7"/>
    </row>
    <row r="25" spans="2:18" x14ac:dyDescent="0.3">
      <c r="B25" s="13" t="s">
        <v>43</v>
      </c>
      <c r="C25" s="54">
        <f>+'[3]Shipments &amp; Prices'!$O$36*1000</f>
        <v>427373.81000000006</v>
      </c>
      <c r="D25" s="55">
        <f t="shared" si="2"/>
        <v>755.5041542863396</v>
      </c>
      <c r="E25" s="56">
        <f>+'[3]Shipments &amp; Prices'!$O$250</f>
        <v>322882.68888818083</v>
      </c>
      <c r="F25" s="54">
        <f>+'[4]Shipments &amp; Prices'!$O$36*1000</f>
        <v>446359.43442400004</v>
      </c>
      <c r="G25" s="55">
        <f t="shared" si="3"/>
        <v>799.87145597196456</v>
      </c>
      <c r="H25" s="56">
        <f>'[4]Shipments &amp; Prices'!$O$250</f>
        <v>357030.17069954751</v>
      </c>
      <c r="I25" s="18">
        <f t="shared" si="4"/>
        <v>19958.86974458097</v>
      </c>
      <c r="J25" s="18">
        <f t="shared" si="5"/>
        <v>419941.48604960041</v>
      </c>
      <c r="K25" s="57"/>
      <c r="L25" s="18">
        <f t="shared" si="9"/>
        <v>60.583746626350148</v>
      </c>
      <c r="M25" s="21">
        <f t="shared" si="10"/>
        <v>5007.8012739675132</v>
      </c>
      <c r="O25" s="18">
        <f t="shared" si="6"/>
        <v>44.367301685624966</v>
      </c>
      <c r="P25" s="21">
        <f t="shared" si="7"/>
        <v>19803.763687314546</v>
      </c>
      <c r="Q25" s="21">
        <f t="shared" si="8"/>
        <v>14795.962413347032</v>
      </c>
      <c r="R25" s="7"/>
    </row>
    <row r="26" spans="2:18" x14ac:dyDescent="0.3">
      <c r="B26" s="13" t="s">
        <v>44</v>
      </c>
      <c r="C26" s="54">
        <f>'[3]Shipments &amp; Prices'!$O$44*1000</f>
        <v>102999.19000000002</v>
      </c>
      <c r="D26" s="55">
        <f t="shared" si="2"/>
        <v>859.20610955438804</v>
      </c>
      <c r="E26" s="56">
        <f>'[3]Shipments &amp; Prices'!$O$258</f>
        <v>88497.533327153244</v>
      </c>
      <c r="F26" s="54">
        <f>'[4]Shipments &amp; Prices'!$O$44*1000</f>
        <v>90523.857724700007</v>
      </c>
      <c r="G26" s="55">
        <f t="shared" si="3"/>
        <v>914.47188458082758</v>
      </c>
      <c r="H26" s="56">
        <f>'[4]Shipments &amp; Prices'!$O$258</f>
        <v>82781.522773033124</v>
      </c>
      <c r="I26" s="18">
        <f t="shared" si="4"/>
        <v>-9179.8488510503485</v>
      </c>
      <c r="J26" s="18">
        <f t="shared" si="5"/>
        <v>101207.96337638272</v>
      </c>
      <c r="K26" s="57"/>
      <c r="L26" s="18">
        <f t="shared" si="9"/>
        <v>93.789581463477589</v>
      </c>
      <c r="M26" s="21">
        <f t="shared" si="10"/>
        <v>1572.2582830479639</v>
      </c>
      <c r="O26" s="18">
        <f t="shared" si="6"/>
        <v>55.265775026439542</v>
      </c>
      <c r="P26" s="21">
        <f t="shared" si="7"/>
        <v>5002.8711555386917</v>
      </c>
      <c r="Q26" s="21">
        <f t="shared" si="8"/>
        <v>3430.6128724907276</v>
      </c>
      <c r="R26" s="7"/>
    </row>
    <row r="27" spans="2:18" x14ac:dyDescent="0.3">
      <c r="B27" s="13" t="s">
        <v>45</v>
      </c>
      <c r="C27" s="54">
        <f>'[3]Shipments &amp; Prices'!$O$45*1000</f>
        <v>0</v>
      </c>
      <c r="D27" s="64">
        <f>G27</f>
        <v>723.26749918165478</v>
      </c>
      <c r="E27" s="56">
        <f>'[3]Shipments &amp; Prices'!$O$259</f>
        <v>0</v>
      </c>
      <c r="F27" s="54">
        <f>'[4]Shipments &amp; Prices'!$O$45*1000</f>
        <v>45424.208000000021</v>
      </c>
      <c r="G27" s="55">
        <f t="shared" si="3"/>
        <v>723.26749918165478</v>
      </c>
      <c r="H27" s="56">
        <f>'[4]Shipments &amp; Prices'!$O$259</f>
        <v>32853.85332246733</v>
      </c>
      <c r="I27" s="18">
        <f t="shared" si="4"/>
        <v>32853.85332246733</v>
      </c>
      <c r="J27" s="18">
        <f t="shared" si="5"/>
        <v>0</v>
      </c>
      <c r="K27" s="57"/>
      <c r="L27" s="18">
        <f t="shared" si="9"/>
        <v>-161.8568230334281</v>
      </c>
      <c r="M27" s="21">
        <f t="shared" si="10"/>
        <v>-1361.5218510536356</v>
      </c>
      <c r="O27" s="18">
        <f t="shared" si="6"/>
        <v>0</v>
      </c>
      <c r="P27" s="21">
        <f t="shared" si="7"/>
        <v>0</v>
      </c>
      <c r="Q27" s="21">
        <f t="shared" si="8"/>
        <v>1361.5218510536356</v>
      </c>
    </row>
    <row r="28" spans="2:18" x14ac:dyDescent="0.3">
      <c r="B28" s="13" t="s">
        <v>46</v>
      </c>
      <c r="C28" s="54">
        <f>'[3]Shipments &amp; Prices'!$O$48*1000</f>
        <v>1220.3923579624538</v>
      </c>
      <c r="D28" s="55">
        <f t="shared" si="2"/>
        <v>882.99233785211345</v>
      </c>
      <c r="E28" s="56">
        <f>'[3]Shipments &amp; Prices'!$O$262</f>
        <v>1077.5971012541204</v>
      </c>
      <c r="F28" s="54">
        <f>'[4]Shipments &amp; Prices'!$O$48*1000</f>
        <v>1887.8105506815871</v>
      </c>
      <c r="G28" s="55">
        <f t="shared" si="3"/>
        <v>937.18709384501119</v>
      </c>
      <c r="H28" s="56">
        <f>'[4]Shipments &amp; Prices'!$O$262</f>
        <v>1769.2316837232268</v>
      </c>
      <c r="I28" s="18">
        <f t="shared" si="4"/>
        <v>608.06530368131757</v>
      </c>
      <c r="J28" s="18">
        <f t="shared" si="5"/>
        <v>1199.1688970513396</v>
      </c>
      <c r="K28" s="57"/>
      <c r="L28" s="18">
        <f t="shared" si="9"/>
        <v>82.922742834687597</v>
      </c>
      <c r="M28" s="21">
        <f t="shared" si="10"/>
        <v>28.989338669403555</v>
      </c>
      <c r="O28" s="18">
        <f t="shared" si="6"/>
        <v>54.19475599289774</v>
      </c>
      <c r="P28" s="21">
        <f t="shared" si="7"/>
        <v>102.30943215500652</v>
      </c>
      <c r="Q28" s="21">
        <f t="shared" si="8"/>
        <v>73.320093485602968</v>
      </c>
    </row>
    <row r="29" spans="2:18" x14ac:dyDescent="0.3">
      <c r="B29" s="13" t="s">
        <v>47</v>
      </c>
      <c r="C29" s="54">
        <f>'[3]Shipments &amp; Prices'!$O$49*1000</f>
        <v>492.26</v>
      </c>
      <c r="D29" s="55">
        <f t="shared" si="2"/>
        <v>323.3149331466999</v>
      </c>
      <c r="E29" s="56">
        <f>'[3]Shipments &amp; Prices'!$O$263</f>
        <v>159.1550089907945</v>
      </c>
      <c r="F29" s="54">
        <f>'[4]Shipments &amp; Prices'!$O$49*1000</f>
        <v>4847.375</v>
      </c>
      <c r="G29" s="55">
        <f t="shared" si="3"/>
        <v>603.52341365485699</v>
      </c>
      <c r="H29" s="56">
        <f>'[4]Shipments &amp; Prices'!$O$263</f>
        <v>2925.504307265212</v>
      </c>
      <c r="I29" s="18">
        <f t="shared" si="4"/>
        <v>1410.8415299383396</v>
      </c>
      <c r="J29" s="18">
        <f t="shared" si="5"/>
        <v>483.69926066076977</v>
      </c>
      <c r="K29" s="18">
        <f>G29-D29</f>
        <v>280.20848050815709</v>
      </c>
      <c r="L29" s="57"/>
      <c r="M29" s="19">
        <f>K29*F29/1000</f>
        <v>1358.2755832032281</v>
      </c>
      <c r="O29" s="18">
        <f t="shared" si="6"/>
        <v>280.20848050815709</v>
      </c>
      <c r="P29" s="19">
        <f t="shared" si="7"/>
        <v>1358.2755832032281</v>
      </c>
      <c r="Q29" s="19">
        <f t="shared" si="8"/>
        <v>0</v>
      </c>
    </row>
    <row r="30" spans="2:18" x14ac:dyDescent="0.3">
      <c r="B30" s="13" t="s">
        <v>48</v>
      </c>
      <c r="C30" s="54">
        <f>'[3]Shipments &amp; Prices'!$O$51*1000</f>
        <v>90127.470395196156</v>
      </c>
      <c r="D30" s="55">
        <f t="shared" si="2"/>
        <v>922.02222687578126</v>
      </c>
      <c r="E30" s="56">
        <f>'[3]Shipments &amp; Prices'!$O$265</f>
        <v>83099.530956459814</v>
      </c>
      <c r="F30" s="54">
        <f>'[4]Shipments &amp; Prices'!$O$51*1000</f>
        <v>95622.293215625148</v>
      </c>
      <c r="G30" s="55">
        <f t="shared" si="3"/>
        <v>982.99579011657045</v>
      </c>
      <c r="H30" s="56">
        <f>'[4]Shipments &amp; Prices'!$O$265</f>
        <v>93996.311672251817</v>
      </c>
      <c r="I30" s="18">
        <f t="shared" si="4"/>
        <v>6511.5066648032234</v>
      </c>
      <c r="J30" s="18">
        <f t="shared" si="5"/>
        <v>88560.091812013561</v>
      </c>
      <c r="K30" s="57"/>
      <c r="L30" s="18">
        <f>(G30*$H$152)-(D30*$E$152)</f>
        <v>109.27697718101263</v>
      </c>
      <c r="M30" s="21">
        <f>L30*F30/1000/$E$152</f>
        <v>1935.0583617999937</v>
      </c>
      <c r="O30" s="18">
        <f t="shared" si="6"/>
        <v>60.97356324078919</v>
      </c>
      <c r="P30" s="21">
        <f t="shared" si="7"/>
        <v>5830.4319426122074</v>
      </c>
      <c r="Q30" s="21">
        <f t="shared" si="8"/>
        <v>3895.3735808122137</v>
      </c>
    </row>
    <row r="31" spans="2:18" x14ac:dyDescent="0.3">
      <c r="B31" s="13" t="s">
        <v>49</v>
      </c>
      <c r="C31" s="54">
        <f>('[3]Shipments &amp; Prices'!$O$52)*1000</f>
        <v>265325.53999999992</v>
      </c>
      <c r="D31" s="55">
        <f t="shared" si="2"/>
        <v>788.21578807237404</v>
      </c>
      <c r="E31" s="56">
        <f>'[3]Shipments &amp; Prices'!$O$266</f>
        <v>209133.77960682815</v>
      </c>
      <c r="F31" s="54">
        <f>('[4]Shipments &amp; Prices'!$O$52)*1000</f>
        <v>286122.31839448167</v>
      </c>
      <c r="G31" s="55">
        <f t="shared" si="3"/>
        <v>844.90554447654165</v>
      </c>
      <c r="H31" s="56">
        <f>'[4]Shipments &amp; Prices'!$O$266</f>
        <v>241746.33320997993</v>
      </c>
      <c r="I31" s="18">
        <f t="shared" si="4"/>
        <v>20029.329070439559</v>
      </c>
      <c r="J31" s="18">
        <f t="shared" si="5"/>
        <v>260711.34671193975</v>
      </c>
      <c r="K31" s="57"/>
      <c r="L31" s="18">
        <f>(G31*$H$152)-(D31*$E$152)</f>
        <v>117.04702334785452</v>
      </c>
      <c r="M31" s="21">
        <f>L31*F31/1000/$E$152</f>
        <v>6201.8084595298442</v>
      </c>
      <c r="O31" s="18">
        <f t="shared" si="6"/>
        <v>56.689756404167611</v>
      </c>
      <c r="P31" s="21">
        <f t="shared" si="7"/>
        <v>16220.204531578853</v>
      </c>
      <c r="Q31" s="21">
        <f t="shared" si="8"/>
        <v>10018.396072049009</v>
      </c>
      <c r="R31" s="7"/>
    </row>
    <row r="32" spans="2:18" x14ac:dyDescent="0.3">
      <c r="B32" s="13" t="s">
        <v>50</v>
      </c>
      <c r="C32" s="54">
        <f>+'[3]Shipments &amp; Prices'!$O$53*1000</f>
        <v>110301.97000000002</v>
      </c>
      <c r="D32" s="55">
        <f t="shared" si="2"/>
        <v>833.5004192996837</v>
      </c>
      <c r="E32" s="56">
        <f>+'[3]Shipments &amp; Prices'!$O$267</f>
        <v>91936.738244581138</v>
      </c>
      <c r="F32" s="54">
        <f>+'[4]Shipments &amp; Prices'!$O$53*1000</f>
        <v>117390.91099999999</v>
      </c>
      <c r="G32" s="55">
        <f t="shared" si="3"/>
        <v>892.18139614142331</v>
      </c>
      <c r="H32" s="56">
        <f>+'[4]Shipments &amp; Prices'!$O$267</f>
        <v>104733.98687029356</v>
      </c>
      <c r="I32" s="18">
        <f t="shared" si="4"/>
        <v>7507.4782890465494</v>
      </c>
      <c r="J32" s="18">
        <f t="shared" si="5"/>
        <v>108383.7430187836</v>
      </c>
      <c r="K32" s="57"/>
      <c r="L32" s="18">
        <f>(G32*$H$152)-(D32*$E$152)</f>
        <v>117.21996072573438</v>
      </c>
      <c r="M32" s="21">
        <f>L32*F32/1000/$E$152</f>
        <v>2548.2514772181812</v>
      </c>
      <c r="O32" s="18">
        <f t="shared" si="6"/>
        <v>58.680976841739607</v>
      </c>
      <c r="P32" s="21">
        <f t="shared" si="7"/>
        <v>6888.6133298217155</v>
      </c>
      <c r="Q32" s="21">
        <f t="shared" si="8"/>
        <v>4340.3618526035343</v>
      </c>
      <c r="R32" s="7"/>
    </row>
    <row r="33" spans="2:18" x14ac:dyDescent="0.3">
      <c r="B33" s="13" t="s">
        <v>51</v>
      </c>
      <c r="C33" s="54">
        <f>'[3]Shipments &amp; Prices'!$O$61*1000</f>
        <v>49551.853244528029</v>
      </c>
      <c r="D33" s="55">
        <f t="shared" si="2"/>
        <v>1018.0180553139453</v>
      </c>
      <c r="E33" s="56">
        <f>'[3]Shipments &amp; Prices'!$O$275</f>
        <v>50444.681277196432</v>
      </c>
      <c r="F33" s="54">
        <f>'[4]Shipments &amp; Prices'!$O$61*1000</f>
        <v>41148.523634731071</v>
      </c>
      <c r="G33" s="55">
        <f t="shared" si="3"/>
        <v>1058.4157236736737</v>
      </c>
      <c r="H33" s="56">
        <f>'[4]Shipments &amp; Prices'!$O$275</f>
        <v>43552.244420957155</v>
      </c>
      <c r="I33" s="18">
        <f t="shared" si="4"/>
        <v>-7677.4736295626453</v>
      </c>
      <c r="J33" s="18">
        <f t="shared" si="5"/>
        <v>48690.112498982598</v>
      </c>
      <c r="K33" s="57"/>
      <c r="L33" s="18">
        <f>(G33*$H$152)-(D33*$E$152)</f>
        <v>-18.710747315871231</v>
      </c>
      <c r="M33" s="21">
        <f>L33*F33/1000/$E$152</f>
        <v>-142.5777089167793</v>
      </c>
      <c r="O33" s="18">
        <f t="shared" si="6"/>
        <v>40.397668359728414</v>
      </c>
      <c r="P33" s="21">
        <f t="shared" si="7"/>
        <v>1662.3044112883122</v>
      </c>
      <c r="Q33" s="21">
        <f t="shared" si="8"/>
        <v>1804.8821202050915</v>
      </c>
      <c r="R33" s="7"/>
    </row>
    <row r="34" spans="2:18" x14ac:dyDescent="0.3">
      <c r="B34" s="13" t="s">
        <v>52</v>
      </c>
      <c r="C34" s="54">
        <f>'[3]Shipments &amp; Prices'!$O$62*1000</f>
        <v>1014.1200000000001</v>
      </c>
      <c r="D34" s="55">
        <f t="shared" si="2"/>
        <v>323.3149331466999</v>
      </c>
      <c r="E34" s="56">
        <f>'[3]Shipments &amp; Prices'!$O$276</f>
        <v>327.88014000273137</v>
      </c>
      <c r="F34" s="54">
        <f>'[4]Shipments &amp; Prices'!$O$62*1000</f>
        <v>2599.1210000000001</v>
      </c>
      <c r="G34" s="55">
        <f t="shared" si="3"/>
        <v>562.09664698283348</v>
      </c>
      <c r="H34" s="56">
        <f>'[4]Shipments &amp; Prices'!$O$276</f>
        <v>1460.9571992026692</v>
      </c>
      <c r="I34" s="18">
        <f t="shared" si="4"/>
        <v>518.1565530786412</v>
      </c>
      <c r="J34" s="18">
        <f t="shared" si="5"/>
        <v>996.48375700097495</v>
      </c>
      <c r="K34" s="18">
        <f>G34-D34</f>
        <v>238.78171383613358</v>
      </c>
      <c r="L34" s="57"/>
      <c r="M34" s="19">
        <f>K34*F34/1000</f>
        <v>620.62256684748536</v>
      </c>
      <c r="O34" s="18">
        <f t="shared" si="6"/>
        <v>238.78171383613358</v>
      </c>
      <c r="P34" s="19">
        <f t="shared" si="7"/>
        <v>620.62256684748536</v>
      </c>
      <c r="Q34" s="19">
        <f t="shared" si="8"/>
        <v>0</v>
      </c>
      <c r="R34" s="7"/>
    </row>
    <row r="35" spans="2:18" x14ac:dyDescent="0.3">
      <c r="B35" s="13" t="s">
        <v>53</v>
      </c>
      <c r="C35" s="54">
        <f>'[3]Shipments &amp; Prices'!$O$64*1000</f>
        <v>463694.02845894557</v>
      </c>
      <c r="D35" s="55">
        <f t="shared" si="2"/>
        <v>1045.098613309294</v>
      </c>
      <c r="E35" s="56">
        <f>'[3]Shipments &amp; Prices'!$O$278</f>
        <v>484605.98614224436</v>
      </c>
      <c r="F35" s="54">
        <f>'[4]Shipments &amp; Prices'!$O$64*1000</f>
        <v>463787.28951984947</v>
      </c>
      <c r="G35" s="55">
        <f t="shared" si="3"/>
        <v>1098.8490261551694</v>
      </c>
      <c r="H35" s="56">
        <f>'[4]Shipments &amp; Prices'!$O$278</f>
        <v>509632.21143203217</v>
      </c>
      <c r="I35" s="18">
        <f t="shared" si="4"/>
        <v>8525.0977891471794</v>
      </c>
      <c r="J35" s="18">
        <f t="shared" si="5"/>
        <v>455630.07097551273</v>
      </c>
      <c r="K35" s="57"/>
      <c r="L35" s="18">
        <f>(G35*$H$152)-(D35*$E$152)</f>
        <v>44.345683631760039</v>
      </c>
      <c r="M35" s="21">
        <f>L35*F35/1000/$E$152</f>
        <v>3808.6971136071747</v>
      </c>
      <c r="O35" s="18">
        <f t="shared" si="6"/>
        <v>53.750412845875417</v>
      </c>
      <c r="P35" s="21">
        <f t="shared" si="7"/>
        <v>24928.758284361458</v>
      </c>
      <c r="Q35" s="21">
        <f t="shared" si="8"/>
        <v>21120.061170754285</v>
      </c>
    </row>
    <row r="36" spans="2:18" x14ac:dyDescent="0.3">
      <c r="B36" s="13" t="s">
        <v>54</v>
      </c>
      <c r="C36" s="54">
        <f>('[3]Shipments &amp; Prices'!$O$65)*1000</f>
        <v>416584.70999999996</v>
      </c>
      <c r="D36" s="55">
        <f t="shared" si="2"/>
        <v>848.78295422451879</v>
      </c>
      <c r="E36" s="56">
        <f>'[3]Shipments &amp; Prices'!$O$279</f>
        <v>353590.00083856442</v>
      </c>
      <c r="F36" s="54">
        <f>('[4]Shipments &amp; Prices'!$O$65)*1000</f>
        <v>438619.17</v>
      </c>
      <c r="G36" s="55">
        <f t="shared" si="3"/>
        <v>912.55185611988099</v>
      </c>
      <c r="H36" s="56">
        <f>'[4]Shipments &amp; Prices'!$O$279</f>
        <v>400262.73771326162</v>
      </c>
      <c r="I36" s="18">
        <f t="shared" si="4"/>
        <v>24851.646909628525</v>
      </c>
      <c r="J36" s="18">
        <f t="shared" si="5"/>
        <v>409340.01590537757</v>
      </c>
      <c r="K36" s="57"/>
      <c r="L36" s="18">
        <f>(G36*$H$152)-(D36*$E$152)</f>
        <v>140.13614120186503</v>
      </c>
      <c r="M36" s="21">
        <f>L36*F36/1000/$E$152</f>
        <v>11382.666285363859</v>
      </c>
      <c r="O36" s="18">
        <f t="shared" si="6"/>
        <v>63.768901895362205</v>
      </c>
      <c r="P36" s="21">
        <f t="shared" si="7"/>
        <v>27970.262821155196</v>
      </c>
      <c r="Q36" s="21">
        <f t="shared" si="8"/>
        <v>16587.596535791337</v>
      </c>
      <c r="R36" s="7"/>
    </row>
    <row r="37" spans="2:18" x14ac:dyDescent="0.3">
      <c r="B37" s="13" t="s">
        <v>55</v>
      </c>
      <c r="C37" s="54">
        <f>+'[3]Shipments &amp; Prices'!$O$66*1000</f>
        <v>83539.329999999987</v>
      </c>
      <c r="D37" s="55">
        <f t="shared" si="2"/>
        <v>880.30207472866596</v>
      </c>
      <c r="E37" s="56">
        <f>+'[3]Shipments &amp; Prices'!$O$280</f>
        <v>73539.845520442672</v>
      </c>
      <c r="F37" s="54">
        <f>+'[4]Shipments &amp; Prices'!$O$66*1000</f>
        <v>76159.621079999997</v>
      </c>
      <c r="G37" s="55">
        <f t="shared" si="3"/>
        <v>950.63960616797078</v>
      </c>
      <c r="H37" s="56">
        <f>+'[4]Shipments &amp; Prices'!$O$280</f>
        <v>72400.352189393088</v>
      </c>
      <c r="I37" s="18">
        <f t="shared" si="4"/>
        <v>-5217.4646740558155</v>
      </c>
      <c r="J37" s="18">
        <f t="shared" si="5"/>
        <v>82086.523701084909</v>
      </c>
      <c r="K37" s="57"/>
      <c r="L37" s="18">
        <f>(G37*$H$152)-(D37*$E$152)</f>
        <v>167.08325222868007</v>
      </c>
      <c r="M37" s="21">
        <f>L37*F37/1000/$E$152</f>
        <v>2356.4809589908032</v>
      </c>
      <c r="O37" s="18">
        <f t="shared" si="6"/>
        <v>70.337531439304826</v>
      </c>
      <c r="P37" s="21">
        <f t="shared" si="7"/>
        <v>5356.8797421200425</v>
      </c>
      <c r="Q37" s="21">
        <f t="shared" si="8"/>
        <v>3000.3987831292393</v>
      </c>
      <c r="R37" s="7"/>
    </row>
    <row r="38" spans="2:18" x14ac:dyDescent="0.3">
      <c r="B38" s="13" t="s">
        <v>56</v>
      </c>
      <c r="C38" s="54">
        <f>'[3]Shipments &amp; Prices'!$O$74*1000</f>
        <v>0</v>
      </c>
      <c r="D38" s="55">
        <f t="shared" si="2"/>
        <v>0</v>
      </c>
      <c r="E38" s="56">
        <f>'[3]Shipments &amp; Prices'!$O$288</f>
        <v>0</v>
      </c>
      <c r="F38" s="54">
        <f>'[4]Shipments &amp; Prices'!$O$74*1000</f>
        <v>0</v>
      </c>
      <c r="G38" s="55">
        <f t="shared" si="3"/>
        <v>0</v>
      </c>
      <c r="H38" s="56">
        <f>'[4]Shipments &amp; Prices'!$O$288</f>
        <v>0</v>
      </c>
      <c r="I38" s="18">
        <f t="shared" si="4"/>
        <v>0</v>
      </c>
      <c r="J38" s="18">
        <f t="shared" si="5"/>
        <v>0</v>
      </c>
      <c r="K38" s="18">
        <f>G38-D38</f>
        <v>0</v>
      </c>
      <c r="L38" s="57"/>
      <c r="M38" s="19">
        <f>K38*F38/1000</f>
        <v>0</v>
      </c>
      <c r="O38" s="18">
        <f t="shared" si="6"/>
        <v>0</v>
      </c>
      <c r="P38" s="19">
        <f t="shared" si="7"/>
        <v>0</v>
      </c>
      <c r="Q38" s="19">
        <f t="shared" si="8"/>
        <v>0</v>
      </c>
      <c r="R38" s="7"/>
    </row>
    <row r="39" spans="2:18" x14ac:dyDescent="0.3">
      <c r="B39" s="13" t="s">
        <v>57</v>
      </c>
      <c r="C39" s="54">
        <f>('[3]Shipments &amp; Prices'!$O$79)*1000</f>
        <v>181457.09000000003</v>
      </c>
      <c r="D39" s="55">
        <f t="shared" si="2"/>
        <v>973.02160893390283</v>
      </c>
      <c r="E39" s="56">
        <f>'[3]Shipments &amp; Prices'!$O$293</f>
        <v>176561.66966426402</v>
      </c>
      <c r="F39" s="54">
        <f>('[4]Shipments &amp; Prices'!$O$79)*1000</f>
        <v>136271.78900000008</v>
      </c>
      <c r="G39" s="55">
        <f t="shared" si="3"/>
        <v>1027.6409820521678</v>
      </c>
      <c r="H39" s="56">
        <f>'[4]Shipments &amp; Prices'!$O$293</f>
        <v>140038.47507396591</v>
      </c>
      <c r="I39" s="18">
        <f t="shared" si="4"/>
        <v>-40895.745633151986</v>
      </c>
      <c r="J39" s="18">
        <f t="shared" si="5"/>
        <v>178301.42663359761</v>
      </c>
      <c r="K39" s="57"/>
      <c r="L39" s="18">
        <f>(G39*$H$152)-(D39*$E$152)</f>
        <v>64.97340119760338</v>
      </c>
      <c r="M39" s="21">
        <f>L39*F39/1000/$E$152</f>
        <v>1639.6373367800295</v>
      </c>
      <c r="O39" s="18">
        <f t="shared" si="6"/>
        <v>54.619373118265003</v>
      </c>
      <c r="P39" s="21">
        <f t="shared" si="7"/>
        <v>7443.0796888844843</v>
      </c>
      <c r="Q39" s="21">
        <f t="shared" si="8"/>
        <v>5803.4423521044546</v>
      </c>
      <c r="R39" s="7"/>
    </row>
    <row r="40" spans="2:18" x14ac:dyDescent="0.3">
      <c r="B40" s="13" t="s">
        <v>58</v>
      </c>
      <c r="C40" s="54">
        <f>+'[3]Shipments &amp; Prices'!$O$80*1000</f>
        <v>106335.88</v>
      </c>
      <c r="D40" s="55">
        <f t="shared" si="2"/>
        <v>1088.1106443153853</v>
      </c>
      <c r="E40" s="56">
        <f>+'[3]Shipments &amp; Prices'!$O$294</f>
        <v>115705.20290064352</v>
      </c>
      <c r="F40" s="54">
        <f>+'[4]Shipments &amp; Prices'!$O$80*1000</f>
        <v>88523.367000000013</v>
      </c>
      <c r="G40" s="55">
        <f t="shared" si="3"/>
        <v>1184.3832810817546</v>
      </c>
      <c r="H40" s="56">
        <f>+'[4]Shipments &amp; Prices'!$O$294</f>
        <v>104845.59585986432</v>
      </c>
      <c r="I40" s="18">
        <f t="shared" si="4"/>
        <v>-17369.7920865981</v>
      </c>
      <c r="J40" s="18">
        <f t="shared" si="5"/>
        <v>104486.62604662645</v>
      </c>
      <c r="K40" s="57"/>
      <c r="L40" s="18">
        <f>(G40*$H$152)-(D40*$E$152)</f>
        <v>254.8243615818028</v>
      </c>
      <c r="M40" s="21">
        <f>L40*F40/1000/$E$152</f>
        <v>4177.3908297864136</v>
      </c>
      <c r="O40" s="18">
        <f t="shared" si="6"/>
        <v>96.27263676636926</v>
      </c>
      <c r="P40" s="21">
        <f t="shared" si="7"/>
        <v>8522.3779565269997</v>
      </c>
      <c r="Q40" s="21">
        <f t="shared" si="8"/>
        <v>4344.9871267405861</v>
      </c>
      <c r="R40" s="7"/>
    </row>
    <row r="41" spans="2:18" x14ac:dyDescent="0.3">
      <c r="B41" s="13" t="s">
        <v>59</v>
      </c>
      <c r="C41" s="54">
        <f>'[3]Shipments &amp; Prices'!$O$90*1000</f>
        <v>94231.594684142721</v>
      </c>
      <c r="D41" s="55">
        <f t="shared" si="2"/>
        <v>1291.3710733114247</v>
      </c>
      <c r="E41" s="56">
        <f>'[3]Shipments &amp; Prices'!$O$304</f>
        <v>121687.95556710853</v>
      </c>
      <c r="F41" s="54">
        <f>'[4]Shipments &amp; Prices'!$O$90*1000</f>
        <v>99323.020800091981</v>
      </c>
      <c r="G41" s="55">
        <f t="shared" si="3"/>
        <v>1381.2513280098087</v>
      </c>
      <c r="H41" s="56">
        <f>'[4]Shipments &amp; Prices'!$O$304</f>
        <v>137190.05438207291</v>
      </c>
      <c r="I41" s="18">
        <f t="shared" si="4"/>
        <v>8691.1574948101152</v>
      </c>
      <c r="J41" s="18">
        <f t="shared" si="5"/>
        <v>92592.842562071179</v>
      </c>
      <c r="K41" s="57"/>
      <c r="L41" s="18">
        <f>(G41*$H$152)-(D41*$E$152)</f>
        <v>176.2492720964492</v>
      </c>
      <c r="M41" s="21">
        <f>L41*F41/1000/$E$152</f>
        <v>3241.7796515623504</v>
      </c>
      <c r="O41" s="18">
        <f t="shared" si="6"/>
        <v>89.880254698384078</v>
      </c>
      <c r="P41" s="21">
        <f t="shared" si="7"/>
        <v>8927.1784069251662</v>
      </c>
      <c r="Q41" s="21">
        <f t="shared" si="8"/>
        <v>5685.3987553628158</v>
      </c>
    </row>
    <row r="42" spans="2:18" x14ac:dyDescent="0.3">
      <c r="B42" s="25" t="s">
        <v>60</v>
      </c>
      <c r="C42" s="54">
        <f>'[3]Shipments &amp; Prices'!$O$91*1000</f>
        <v>7737.5399999999991</v>
      </c>
      <c r="D42" s="55">
        <f t="shared" si="2"/>
        <v>848.71896027417995</v>
      </c>
      <c r="E42" s="56">
        <f>'[3]Shipments &amp; Prices'!$O$305</f>
        <v>6566.9969038798772</v>
      </c>
      <c r="F42" s="54">
        <f>'[4]Shipments &amp; Prices'!$O$91*1000</f>
        <v>7661.2250000000004</v>
      </c>
      <c r="G42" s="55">
        <f t="shared" si="3"/>
        <v>819.85821665871219</v>
      </c>
      <c r="H42" s="56">
        <f>'[4]Shipments &amp; Prices'!$O$305</f>
        <v>6281.1182659211427</v>
      </c>
      <c r="I42" s="67">
        <f t="shared" si="4"/>
        <v>49.434596985078954</v>
      </c>
      <c r="J42" s="67">
        <f t="shared" si="5"/>
        <v>7602.9788675357167</v>
      </c>
      <c r="K42" s="68"/>
      <c r="L42" s="67">
        <f>(G42*$H$152)-(D42*$E$152)</f>
        <v>-339.32044645174392</v>
      </c>
      <c r="M42" s="67">
        <f>L42*F42/1000/$E$152</f>
        <v>-481.40931247541886</v>
      </c>
      <c r="N42" s="69"/>
      <c r="O42" s="67">
        <f t="shared" si="6"/>
        <v>-28.860743615467754</v>
      </c>
      <c r="P42" s="67">
        <f t="shared" si="7"/>
        <v>-221.10865050541196</v>
      </c>
      <c r="Q42" s="67">
        <f t="shared" si="8"/>
        <v>260.3006619700069</v>
      </c>
      <c r="R42" s="7"/>
    </row>
    <row r="43" spans="2:18" x14ac:dyDescent="0.3">
      <c r="B43" s="70" t="s">
        <v>61</v>
      </c>
      <c r="C43" s="54">
        <f>'[3]Shipments &amp; Prices'!$O$107*1000</f>
        <v>3816.3261818387646</v>
      </c>
      <c r="D43" s="55">
        <f t="shared" si="2"/>
        <v>1872.4826654238002</v>
      </c>
      <c r="E43" s="56">
        <f>'[3]Shipments &amp; Prices'!$O$321</f>
        <v>7146.0046210960845</v>
      </c>
      <c r="F43" s="54">
        <f>'[4]Shipments &amp; Prices'!$O$107*1000+'[4]Shipments &amp; Prices'!$O$105*1000</f>
        <v>3627.2928948158055</v>
      </c>
      <c r="G43" s="55">
        <f t="shared" si="3"/>
        <v>1950.7789811814962</v>
      </c>
      <c r="H43" s="56">
        <f>'[4]Shipments &amp; Prices'!$O$321+'[4]Shipments &amp; Prices'!$O$319</f>
        <v>7076.0467377956575</v>
      </c>
      <c r="I43" s="18">
        <f t="shared" si="4"/>
        <v>-229.68762700576013</v>
      </c>
      <c r="J43" s="18">
        <f t="shared" si="5"/>
        <v>3749.9576496074205</v>
      </c>
      <c r="K43" s="57"/>
      <c r="L43" s="18">
        <f>(G43*$H$152)-(D43*$E$152)</f>
        <v>-13.756063534403438</v>
      </c>
      <c r="M43" s="21">
        <f>L43*F43/1000/$E$152</f>
        <v>-9.2402354664771078</v>
      </c>
      <c r="O43" s="18">
        <f t="shared" si="6"/>
        <v>78.296315757695993</v>
      </c>
      <c r="P43" s="21">
        <f t="shared" si="7"/>
        <v>284.00366983814547</v>
      </c>
      <c r="Q43" s="21">
        <f t="shared" si="8"/>
        <v>293.24390530462256</v>
      </c>
      <c r="R43" s="7"/>
    </row>
    <row r="44" spans="2:18" x14ac:dyDescent="0.3">
      <c r="B44" s="13" t="s">
        <v>62</v>
      </c>
      <c r="C44" s="54">
        <f>'[3]Shipments &amp; Prices'!$O$95*1000</f>
        <v>0</v>
      </c>
      <c r="D44" s="64">
        <f>G44</f>
        <v>481.23641067916822</v>
      </c>
      <c r="E44" s="56">
        <f>'[3]Shipments &amp; Prices'!$O$309</f>
        <v>0</v>
      </c>
      <c r="F44" s="54">
        <f>'[4]Shipments &amp; Prices'!$O$95*1000</f>
        <v>10000</v>
      </c>
      <c r="G44" s="55">
        <f t="shared" si="3"/>
        <v>481.23641067916822</v>
      </c>
      <c r="H44" s="56">
        <f>'[4]Shipments &amp; Prices'!$O$309</f>
        <v>4812.3641067916824</v>
      </c>
      <c r="I44" s="18">
        <f t="shared" si="4"/>
        <v>4812.3641067916824</v>
      </c>
      <c r="J44" s="18">
        <f t="shared" si="5"/>
        <v>0</v>
      </c>
      <c r="K44" s="18">
        <f>G44-D44</f>
        <v>0</v>
      </c>
      <c r="L44" s="57"/>
      <c r="M44" s="19">
        <f>K44*F44/1000</f>
        <v>0</v>
      </c>
      <c r="O44" s="18">
        <f t="shared" si="6"/>
        <v>0</v>
      </c>
      <c r="P44" s="19">
        <f t="shared" si="7"/>
        <v>0</v>
      </c>
      <c r="Q44" s="19">
        <f t="shared" si="8"/>
        <v>0</v>
      </c>
      <c r="R44" s="7"/>
    </row>
    <row r="45" spans="2:18" x14ac:dyDescent="0.3">
      <c r="B45" s="13" t="s">
        <v>63</v>
      </c>
      <c r="C45" s="54">
        <f>'[3]Shipments &amp; Prices'!$O$98*1000</f>
        <v>35399.969999999994</v>
      </c>
      <c r="D45" s="55">
        <f t="shared" si="2"/>
        <v>948.71897268627947</v>
      </c>
      <c r="E45" s="56">
        <f>'[3]Shipments &amp; Prices'!$O$312</f>
        <v>33584.623171525105</v>
      </c>
      <c r="F45" s="54">
        <f>('[4]Shipments &amp; Prices'!$O$98)*1000</f>
        <v>17169.268000000007</v>
      </c>
      <c r="G45" s="55">
        <f t="shared" si="3"/>
        <v>1006.9799835837825</v>
      </c>
      <c r="H45" s="56">
        <f>'[4]Shipments &amp; Prices'!$O$312</f>
        <v>17289.109208785569</v>
      </c>
      <c r="I45" s="18">
        <f t="shared" si="4"/>
        <v>-16711.753219806105</v>
      </c>
      <c r="J45" s="18">
        <f t="shared" si="5"/>
        <v>34784.340219423531</v>
      </c>
      <c r="K45" s="57"/>
      <c r="L45" s="18">
        <f>(G45*$H$152)-(D45*$E$152)</f>
        <v>89.261878337871167</v>
      </c>
      <c r="M45" s="21">
        <f>L45*F45/1000/$E$152</f>
        <v>283.80761321598243</v>
      </c>
      <c r="O45" s="18">
        <f t="shared" si="6"/>
        <v>58.26101089750307</v>
      </c>
      <c r="P45" s="21">
        <f t="shared" si="7"/>
        <v>1000.2989100501512</v>
      </c>
      <c r="Q45" s="21">
        <f t="shared" si="8"/>
        <v>716.49129683416879</v>
      </c>
      <c r="R45" s="7"/>
    </row>
    <row r="46" spans="2:18" x14ac:dyDescent="0.3">
      <c r="B46" s="13" t="s">
        <v>64</v>
      </c>
      <c r="C46" s="54">
        <f>'[3]Shipments &amp; Prices'!$O$97*1000</f>
        <v>0</v>
      </c>
      <c r="D46" s="64">
        <f>G46</f>
        <v>1007.5182528038496</v>
      </c>
      <c r="E46" s="56">
        <f>'[3]Shipments &amp; Prices'!$O$311</f>
        <v>0</v>
      </c>
      <c r="F46" s="54">
        <f>'[4]Shipments &amp; Prices'!$O$97*1000</f>
        <v>7002.88</v>
      </c>
      <c r="G46" s="55">
        <f t="shared" si="3"/>
        <v>1007.5182528038496</v>
      </c>
      <c r="H46" s="56">
        <f>'[4]Shipments &amp; Prices'!$O$311</f>
        <v>7055.5294221950217</v>
      </c>
      <c r="I46" s="18">
        <f t="shared" si="4"/>
        <v>7055.5294221950217</v>
      </c>
      <c r="J46" s="18">
        <f t="shared" si="5"/>
        <v>0</v>
      </c>
      <c r="K46" s="57"/>
      <c r="L46" s="18">
        <f>(G46*$H$152)-(D46*$E$152)</f>
        <v>-225.46803738800918</v>
      </c>
      <c r="M46" s="21">
        <f>L46*F46/1000/$E$152</f>
        <v>-292.39363141921137</v>
      </c>
      <c r="O46" s="18">
        <f t="shared" si="6"/>
        <v>0</v>
      </c>
      <c r="P46" s="21">
        <f t="shared" si="7"/>
        <v>0</v>
      </c>
      <c r="Q46" s="21">
        <f t="shared" si="8"/>
        <v>292.39363141921137</v>
      </c>
      <c r="R46" s="7"/>
    </row>
    <row r="47" spans="2:18" ht="14.4" thickBot="1" x14ac:dyDescent="0.35">
      <c r="B47" s="71" t="s">
        <v>65</v>
      </c>
      <c r="C47" s="54"/>
      <c r="D47" s="55"/>
      <c r="E47" s="56"/>
      <c r="F47" s="54"/>
      <c r="G47" s="55"/>
      <c r="H47" s="56"/>
      <c r="I47" s="18">
        <f t="shared" si="4"/>
        <v>0</v>
      </c>
      <c r="J47" s="18">
        <f t="shared" si="5"/>
        <v>0</v>
      </c>
      <c r="K47" s="57"/>
      <c r="L47" s="18">
        <f>(G47*$H$152)-(D47*$E$152)</f>
        <v>0</v>
      </c>
      <c r="M47" s="21">
        <f>L47*F47/1000/$E$152</f>
        <v>0</v>
      </c>
      <c r="O47" s="18">
        <f t="shared" si="6"/>
        <v>0</v>
      </c>
      <c r="P47" s="21">
        <f t="shared" si="7"/>
        <v>0</v>
      </c>
      <c r="Q47" s="21">
        <f t="shared" si="8"/>
        <v>0</v>
      </c>
      <c r="R47" s="7"/>
    </row>
    <row r="48" spans="2:18" ht="14.4" thickBot="1" x14ac:dyDescent="0.35">
      <c r="B48" s="72" t="s">
        <v>66</v>
      </c>
      <c r="C48" s="73">
        <f>SUM(C17:C47)</f>
        <v>7232333.7353226142</v>
      </c>
      <c r="D48" s="74">
        <f>+E48/C48*1000</f>
        <v>661.80343378227985</v>
      </c>
      <c r="E48" s="73">
        <f>SUM(E17:E47)</f>
        <v>4786383.3002959285</v>
      </c>
      <c r="F48" s="73">
        <f>SUM(F17:F47)</f>
        <v>7106558.4866279848</v>
      </c>
      <c r="G48" s="74">
        <f>+H48/F48*1000</f>
        <v>723.42880683438705</v>
      </c>
      <c r="H48" s="73">
        <f>SUM(H17:H47)</f>
        <v>5141089.1266800705</v>
      </c>
      <c r="I48" s="73">
        <f>SUM(I17:I47)</f>
        <v>7994.4599377446002</v>
      </c>
      <c r="J48" s="73">
        <f>SUM(J17:J47)</f>
        <v>7106558.4866279839</v>
      </c>
      <c r="K48" s="75"/>
      <c r="L48" s="75"/>
      <c r="M48" s="73">
        <f>SUM(M17:M47)</f>
        <v>286548.94369344617</v>
      </c>
      <c r="O48" s="75"/>
      <c r="P48" s="73">
        <f>SUM(P17:P47)</f>
        <v>429949.8579173219</v>
      </c>
      <c r="Q48" s="73">
        <f>SUM(Q17:Q47)</f>
        <v>143400.91422387576</v>
      </c>
      <c r="R48" s="7"/>
    </row>
    <row r="49" spans="1:13" x14ac:dyDescent="0.3">
      <c r="B49" s="76" t="s">
        <v>67</v>
      </c>
      <c r="C49" s="77" t="s">
        <v>28</v>
      </c>
      <c r="D49" s="6" t="s">
        <v>29</v>
      </c>
      <c r="E49" s="78" t="s">
        <v>30</v>
      </c>
      <c r="F49" s="77" t="s">
        <v>28</v>
      </c>
      <c r="G49" s="6" t="s">
        <v>29</v>
      </c>
      <c r="H49" s="78" t="s">
        <v>30</v>
      </c>
      <c r="I49" s="16" t="s">
        <v>68</v>
      </c>
      <c r="J49" s="29"/>
    </row>
    <row r="50" spans="1:13" x14ac:dyDescent="0.3">
      <c r="A50" s="12">
        <v>30</v>
      </c>
      <c r="B50" s="13" t="s">
        <v>35</v>
      </c>
      <c r="C50" s="79">
        <f t="shared" ref="C50:C80" si="11">C17</f>
        <v>961000</v>
      </c>
      <c r="D50" s="55">
        <f>'[6]Mensal MRF USD2'!$T$259+A50</f>
        <v>437.37404902764735</v>
      </c>
      <c r="E50" s="80">
        <f t="shared" ref="E50:E76" si="12">D50*C50/1000</f>
        <v>420316.46111556911</v>
      </c>
      <c r="F50" s="79">
        <f t="shared" ref="F50:F80" si="13">F17</f>
        <v>966247.86999999988</v>
      </c>
      <c r="G50" s="81"/>
      <c r="H50" s="82"/>
      <c r="I50" s="18">
        <f t="shared" ref="I50:I80" si="14">(J17-F50)*D50/1000</f>
        <v>-9604.8739590607456</v>
      </c>
      <c r="J50" s="29"/>
      <c r="L50" s="3"/>
    </row>
    <row r="51" spans="1:13" x14ac:dyDescent="0.3">
      <c r="A51" s="83">
        <v>9</v>
      </c>
      <c r="B51" s="13" t="s">
        <v>36</v>
      </c>
      <c r="C51" s="79">
        <f t="shared" si="11"/>
        <v>400000</v>
      </c>
      <c r="D51" s="55">
        <f>'[6]Mensal MRF USD2'!$T$259+A51</f>
        <v>416.37404902764735</v>
      </c>
      <c r="E51" s="80">
        <f t="shared" si="12"/>
        <v>166549.61961105894</v>
      </c>
      <c r="F51" s="79">
        <f t="shared" si="13"/>
        <v>997327.08221481298</v>
      </c>
      <c r="G51" s="81"/>
      <c r="H51" s="82"/>
      <c r="I51" s="18">
        <f t="shared" si="14"/>
        <v>-251607.90803792939</v>
      </c>
      <c r="J51" s="29"/>
    </row>
    <row r="52" spans="1:13" x14ac:dyDescent="0.3">
      <c r="A52" s="83">
        <v>9</v>
      </c>
      <c r="B52" s="13" t="s">
        <v>37</v>
      </c>
      <c r="C52" s="79">
        <f t="shared" si="11"/>
        <v>1423164.3800000001</v>
      </c>
      <c r="D52" s="55">
        <f>'[6]Mensal MRF USD2'!$T$259+A52</f>
        <v>416.37404902764735</v>
      </c>
      <c r="E52" s="80">
        <f t="shared" si="12"/>
        <v>592568.71533252147</v>
      </c>
      <c r="F52" s="79">
        <f t="shared" si="13"/>
        <v>874385.0420000006</v>
      </c>
      <c r="G52" s="81"/>
      <c r="H52" s="82"/>
      <c r="I52" s="18">
        <f t="shared" si="14"/>
        <v>218192.29822441732</v>
      </c>
      <c r="J52" s="29"/>
    </row>
    <row r="53" spans="1:13" x14ac:dyDescent="0.3">
      <c r="A53" s="12">
        <v>43</v>
      </c>
      <c r="B53" s="13" t="s">
        <v>38</v>
      </c>
      <c r="C53" s="79">
        <f t="shared" si="11"/>
        <v>31000.000000000004</v>
      </c>
      <c r="D53" s="84">
        <f>'[6]Mensal MRF USD2'!$T$259+A53</f>
        <v>450.37404902764735</v>
      </c>
      <c r="E53" s="80">
        <f t="shared" si="12"/>
        <v>13961.59551985707</v>
      </c>
      <c r="F53" s="79">
        <f t="shared" si="13"/>
        <v>32424.16</v>
      </c>
      <c r="G53" s="81"/>
      <c r="H53" s="82"/>
      <c r="I53" s="18">
        <f t="shared" si="14"/>
        <v>-884.20643646657027</v>
      </c>
      <c r="J53" s="29"/>
      <c r="M53" s="20"/>
    </row>
    <row r="54" spans="1:13" x14ac:dyDescent="0.3">
      <c r="B54" s="13" t="s">
        <v>39</v>
      </c>
      <c r="C54" s="79">
        <f t="shared" si="11"/>
        <v>18000</v>
      </c>
      <c r="D54" s="55">
        <f>$D$51+A54</f>
        <v>416.37404902764735</v>
      </c>
      <c r="E54" s="80">
        <f t="shared" si="12"/>
        <v>7494.7328824976521</v>
      </c>
      <c r="F54" s="79">
        <f t="shared" si="13"/>
        <v>16529.159999999996</v>
      </c>
      <c r="G54" s="81"/>
      <c r="H54" s="82"/>
      <c r="I54" s="18">
        <f t="shared" si="14"/>
        <v>482.0810562693473</v>
      </c>
      <c r="L54" s="20"/>
      <c r="M54" s="20"/>
    </row>
    <row r="55" spans="1:13" x14ac:dyDescent="0.3">
      <c r="A55" s="83">
        <v>9</v>
      </c>
      <c r="B55" s="13" t="s">
        <v>40</v>
      </c>
      <c r="C55" s="79">
        <f t="shared" si="11"/>
        <v>433467</v>
      </c>
      <c r="D55" s="55">
        <f>$D$56+A55</f>
        <v>446.21225084963947</v>
      </c>
      <c r="E55" s="80">
        <f t="shared" si="12"/>
        <v>193418.28573904067</v>
      </c>
      <c r="F55" s="79">
        <f t="shared" si="13"/>
        <v>197566.82000000007</v>
      </c>
      <c r="G55" s="81"/>
      <c r="H55" s="82"/>
      <c r="I55" s="18">
        <f t="shared" si="14"/>
        <v>101897.87352190333</v>
      </c>
      <c r="L55" s="58"/>
      <c r="M55" s="20"/>
    </row>
    <row r="56" spans="1:13" x14ac:dyDescent="0.3">
      <c r="B56" s="13" t="s">
        <v>41</v>
      </c>
      <c r="C56" s="79">
        <f t="shared" si="11"/>
        <v>85817.96</v>
      </c>
      <c r="D56" s="84">
        <f>'[6]Mensal MRF USD2'!$T$279</f>
        <v>437.21225084963947</v>
      </c>
      <c r="E56" s="80">
        <f t="shared" si="12"/>
        <v>37520.663454924332</v>
      </c>
      <c r="F56" s="79">
        <f t="shared" si="13"/>
        <v>100236.84017419748</v>
      </c>
      <c r="G56" s="81"/>
      <c r="H56" s="82"/>
      <c r="I56" s="18">
        <f t="shared" si="14"/>
        <v>-6956.6211513175831</v>
      </c>
      <c r="L56" s="58"/>
      <c r="M56" s="20"/>
    </row>
    <row r="57" spans="1:13" x14ac:dyDescent="0.3">
      <c r="B57" s="13" t="s">
        <v>42</v>
      </c>
      <c r="C57" s="79">
        <f t="shared" si="11"/>
        <v>1438681.32</v>
      </c>
      <c r="D57" s="85">
        <f>D56</f>
        <v>437.21225084963947</v>
      </c>
      <c r="E57" s="80">
        <f t="shared" si="12"/>
        <v>629009.09817253042</v>
      </c>
      <c r="F57" s="79">
        <f t="shared" si="13"/>
        <v>1441770.7359999982</v>
      </c>
      <c r="G57" s="81"/>
      <c r="H57" s="82"/>
      <c r="I57" s="18">
        <f t="shared" si="14"/>
        <v>-12289.630558637718</v>
      </c>
      <c r="M57" s="58"/>
    </row>
    <row r="58" spans="1:13" x14ac:dyDescent="0.3">
      <c r="A58" s="12">
        <v>80</v>
      </c>
      <c r="B58" s="13" t="s">
        <v>43</v>
      </c>
      <c r="C58" s="79">
        <f t="shared" si="11"/>
        <v>427373.81000000006</v>
      </c>
      <c r="D58" s="85">
        <f>D57+A58</f>
        <v>517.21225084963953</v>
      </c>
      <c r="E58" s="80">
        <f>D58*C58/1000</f>
        <v>221042.9702242862</v>
      </c>
      <c r="F58" s="79">
        <f t="shared" si="13"/>
        <v>446359.43442400004</v>
      </c>
      <c r="G58" s="81"/>
      <c r="H58" s="82"/>
      <c r="I58" s="18">
        <f t="shared" si="14"/>
        <v>-13663.686541552806</v>
      </c>
      <c r="M58" s="58"/>
    </row>
    <row r="59" spans="1:13" x14ac:dyDescent="0.3">
      <c r="A59" s="12">
        <f>(195+170)/$E$152</f>
        <v>67.592592592592595</v>
      </c>
      <c r="B59" s="13" t="s">
        <v>44</v>
      </c>
      <c r="C59" s="79">
        <f t="shared" si="11"/>
        <v>102999.19000000002</v>
      </c>
      <c r="D59" s="55">
        <f>D58</f>
        <v>517.21225084963953</v>
      </c>
      <c r="E59" s="80">
        <f>D59*C59/1000</f>
        <v>53272.442895589695</v>
      </c>
      <c r="F59" s="79">
        <f t="shared" si="13"/>
        <v>90523.857724700007</v>
      </c>
      <c r="G59" s="81"/>
      <c r="H59" s="82"/>
      <c r="I59" s="18">
        <f t="shared" si="14"/>
        <v>5525.9503324221678</v>
      </c>
      <c r="M59" s="58"/>
    </row>
    <row r="60" spans="1:13" x14ac:dyDescent="0.3">
      <c r="A60" s="12">
        <f>(40+50)/$E$152</f>
        <v>16.666666666666664</v>
      </c>
      <c r="B60" s="13" t="s">
        <v>45</v>
      </c>
      <c r="C60" s="79">
        <f t="shared" si="11"/>
        <v>0</v>
      </c>
      <c r="D60" s="55">
        <f>$D$56+A60</f>
        <v>453.87891751630616</v>
      </c>
      <c r="E60" s="80">
        <f t="shared" si="12"/>
        <v>0</v>
      </c>
      <c r="F60" s="79">
        <f t="shared" si="13"/>
        <v>45424.208000000021</v>
      </c>
      <c r="G60" s="81"/>
      <c r="H60" s="82"/>
      <c r="I60" s="18">
        <f t="shared" si="14"/>
        <v>-20617.090356075543</v>
      </c>
    </row>
    <row r="61" spans="1:13" x14ac:dyDescent="0.3">
      <c r="A61" s="12">
        <f>21*0</f>
        <v>0</v>
      </c>
      <c r="B61" s="13" t="s">
        <v>46</v>
      </c>
      <c r="C61" s="79">
        <f t="shared" si="11"/>
        <v>1220.3923579624538</v>
      </c>
      <c r="D61" s="55">
        <f>$D$63+A61</f>
        <v>494.72402405836459</v>
      </c>
      <c r="E61" s="80">
        <f t="shared" si="12"/>
        <v>603.75741826126136</v>
      </c>
      <c r="F61" s="79">
        <f t="shared" si="13"/>
        <v>1887.8105506815871</v>
      </c>
      <c r="G61" s="81"/>
      <c r="H61" s="82"/>
      <c r="I61" s="18">
        <f t="shared" si="14"/>
        <v>-340.68757001816249</v>
      </c>
      <c r="M61" s="58"/>
    </row>
    <row r="62" spans="1:13" x14ac:dyDescent="0.3">
      <c r="A62" s="12">
        <f>21*0</f>
        <v>0</v>
      </c>
      <c r="B62" s="13" t="s">
        <v>47</v>
      </c>
      <c r="C62" s="79">
        <f t="shared" si="11"/>
        <v>492.26</v>
      </c>
      <c r="D62" s="55">
        <f>$D$63+A62</f>
        <v>494.72402405836459</v>
      </c>
      <c r="E62" s="80">
        <f t="shared" si="12"/>
        <v>243.53284808297053</v>
      </c>
      <c r="F62" s="79">
        <f t="shared" si="13"/>
        <v>4847.375</v>
      </c>
      <c r="G62" s="81"/>
      <c r="H62" s="82"/>
      <c r="I62" s="18">
        <f t="shared" si="14"/>
        <v>-2158.8152214517631</v>
      </c>
      <c r="M62" s="58"/>
    </row>
    <row r="63" spans="1:13" x14ac:dyDescent="0.3">
      <c r="B63" s="13" t="s">
        <v>48</v>
      </c>
      <c r="C63" s="79">
        <f t="shared" si="11"/>
        <v>90127.470395196156</v>
      </c>
      <c r="D63" s="84">
        <f>'[7]Mensal USD'!$R$21</f>
        <v>494.72402405836459</v>
      </c>
      <c r="E63" s="80">
        <f t="shared" si="12"/>
        <v>44588.224832112566</v>
      </c>
      <c r="F63" s="79">
        <f t="shared" si="13"/>
        <v>95622.293215625148</v>
      </c>
      <c r="G63" s="81"/>
      <c r="H63" s="82"/>
      <c r="I63" s="18">
        <f t="shared" si="14"/>
        <v>-3493.840697105355</v>
      </c>
      <c r="M63" s="58"/>
    </row>
    <row r="64" spans="1:13" x14ac:dyDescent="0.3">
      <c r="B64" s="13" t="s">
        <v>49</v>
      </c>
      <c r="C64" s="79">
        <f t="shared" si="11"/>
        <v>265325.53999999992</v>
      </c>
      <c r="D64" s="55">
        <f>D63</f>
        <v>494.72402405836459</v>
      </c>
      <c r="E64" s="80">
        <f>D64*C64/1000</f>
        <v>131262.91883425854</v>
      </c>
      <c r="F64" s="79">
        <f t="shared" si="13"/>
        <v>286122.31839448167</v>
      </c>
      <c r="G64" s="81"/>
      <c r="H64" s="82"/>
      <c r="I64" s="18">
        <f t="shared" si="14"/>
        <v>-12571.418166020288</v>
      </c>
      <c r="M64" s="58"/>
    </row>
    <row r="65" spans="1:13" x14ac:dyDescent="0.3">
      <c r="A65" s="12">
        <v>80</v>
      </c>
      <c r="B65" s="13" t="s">
        <v>50</v>
      </c>
      <c r="C65" s="79">
        <f t="shared" si="11"/>
        <v>110301.97000000002</v>
      </c>
      <c r="D65" s="55">
        <f>D64+A65</f>
        <v>574.72402405836465</v>
      </c>
      <c r="E65" s="80">
        <f>D65*C65/1000</f>
        <v>63393.192059965018</v>
      </c>
      <c r="F65" s="79">
        <f t="shared" si="13"/>
        <v>117390.91099999999</v>
      </c>
      <c r="G65" s="81"/>
      <c r="H65" s="82"/>
      <c r="I65" s="18">
        <f t="shared" si="14"/>
        <v>-5176.6358275343418</v>
      </c>
      <c r="M65" s="58"/>
    </row>
    <row r="66" spans="1:13" x14ac:dyDescent="0.3">
      <c r="A66" s="12">
        <f>21*0</f>
        <v>0</v>
      </c>
      <c r="B66" s="13" t="s">
        <v>51</v>
      </c>
      <c r="C66" s="79">
        <f t="shared" si="11"/>
        <v>49551.853244528029</v>
      </c>
      <c r="D66" s="55">
        <f>$D$68+A66</f>
        <v>572.56249932596791</v>
      </c>
      <c r="E66" s="80">
        <f t="shared" si="12"/>
        <v>28371.53293992054</v>
      </c>
      <c r="F66" s="79">
        <f t="shared" si="13"/>
        <v>41148.523634731071</v>
      </c>
      <c r="G66" s="81"/>
      <c r="H66" s="82"/>
      <c r="I66" s="18">
        <f t="shared" si="14"/>
        <v>4318.0309690047416</v>
      </c>
      <c r="M66" s="58"/>
    </row>
    <row r="67" spans="1:13" x14ac:dyDescent="0.3">
      <c r="A67" s="12">
        <f>21*0</f>
        <v>0</v>
      </c>
      <c r="B67" s="13" t="s">
        <v>52</v>
      </c>
      <c r="C67" s="79">
        <f t="shared" si="11"/>
        <v>1014.1200000000001</v>
      </c>
      <c r="D67" s="55">
        <f>$D$69+A67</f>
        <v>592.20465813842532</v>
      </c>
      <c r="E67" s="80">
        <f t="shared" si="12"/>
        <v>600.56658791133998</v>
      </c>
      <c r="F67" s="79">
        <f t="shared" si="13"/>
        <v>2599.1210000000001</v>
      </c>
      <c r="G67" s="81"/>
      <c r="H67" s="82"/>
      <c r="I67" s="18">
        <f t="shared" si="14"/>
        <v>-949.08924061014625</v>
      </c>
      <c r="M67" s="58"/>
    </row>
    <row r="68" spans="1:13" x14ac:dyDescent="0.3">
      <c r="B68" s="13" t="s">
        <v>53</v>
      </c>
      <c r="C68" s="79">
        <f t="shared" si="11"/>
        <v>463694.02845894557</v>
      </c>
      <c r="D68" s="84">
        <f>'[7]Mensal USD'!$R$31</f>
        <v>572.56249932596791</v>
      </c>
      <c r="E68" s="80">
        <f t="shared" si="12"/>
        <v>265493.81185698038</v>
      </c>
      <c r="F68" s="79">
        <f t="shared" si="13"/>
        <v>463787.28951984947</v>
      </c>
      <c r="G68" s="81"/>
      <c r="H68" s="82"/>
      <c r="I68" s="18">
        <f t="shared" si="14"/>
        <v>-4670.5174372935744</v>
      </c>
    </row>
    <row r="69" spans="1:13" x14ac:dyDescent="0.3">
      <c r="B69" s="13" t="s">
        <v>54</v>
      </c>
      <c r="C69" s="79">
        <f t="shared" si="11"/>
        <v>416584.70999999996</v>
      </c>
      <c r="D69" s="84">
        <f>'[7]Mensal USD'!$R$51</f>
        <v>592.20465813842532</v>
      </c>
      <c r="E69" s="80">
        <f t="shared" si="12"/>
        <v>246703.40577124504</v>
      </c>
      <c r="F69" s="79">
        <f t="shared" si="13"/>
        <v>438619.17</v>
      </c>
      <c r="G69" s="81"/>
      <c r="H69" s="82"/>
      <c r="I69" s="18">
        <f t="shared" si="14"/>
        <v>-17339.251441188142</v>
      </c>
    </row>
    <row r="70" spans="1:13" x14ac:dyDescent="0.3">
      <c r="A70" s="12">
        <v>80</v>
      </c>
      <c r="B70" s="13" t="s">
        <v>55</v>
      </c>
      <c r="C70" s="79">
        <f t="shared" si="11"/>
        <v>83539.329999999987</v>
      </c>
      <c r="D70" s="55">
        <f>D69+A70</f>
        <v>672.20465813842532</v>
      </c>
      <c r="E70" s="80">
        <f>D70*C70/1000</f>
        <v>56155.52676376309</v>
      </c>
      <c r="F70" s="79">
        <f t="shared" si="13"/>
        <v>76159.621079999997</v>
      </c>
      <c r="G70" s="81"/>
      <c r="H70" s="82"/>
      <c r="I70" s="18">
        <f t="shared" si="14"/>
        <v>3984.09155022612</v>
      </c>
    </row>
    <row r="71" spans="1:13" x14ac:dyDescent="0.3">
      <c r="A71" s="83">
        <f>21*0</f>
        <v>0</v>
      </c>
      <c r="B71" s="13" t="s">
        <v>56</v>
      </c>
      <c r="C71" s="79">
        <f t="shared" si="11"/>
        <v>0</v>
      </c>
      <c r="D71" s="55">
        <f>$D$72+A71</f>
        <v>663.85930953456682</v>
      </c>
      <c r="E71" s="80">
        <f t="shared" si="12"/>
        <v>0</v>
      </c>
      <c r="F71" s="79">
        <f t="shared" si="13"/>
        <v>0</v>
      </c>
      <c r="G71" s="81"/>
      <c r="H71" s="82"/>
      <c r="I71" s="18">
        <f t="shared" si="14"/>
        <v>0</v>
      </c>
    </row>
    <row r="72" spans="1:13" x14ac:dyDescent="0.3">
      <c r="B72" s="13" t="s">
        <v>57</v>
      </c>
      <c r="C72" s="79">
        <f t="shared" si="11"/>
        <v>181457.09000000003</v>
      </c>
      <c r="D72" s="84">
        <f>'[7]Mensal USD'!$R$61</f>
        <v>663.85930953456682</v>
      </c>
      <c r="E72" s="80">
        <f t="shared" si="12"/>
        <v>120461.97847755178</v>
      </c>
      <c r="F72" s="79">
        <f t="shared" si="13"/>
        <v>136271.78900000008</v>
      </c>
      <c r="G72" s="81"/>
      <c r="H72" s="82"/>
      <c r="I72" s="18">
        <f t="shared" si="14"/>
        <v>27901.766219428107</v>
      </c>
    </row>
    <row r="73" spans="1:13" x14ac:dyDescent="0.3">
      <c r="A73" s="86">
        <v>80</v>
      </c>
      <c r="B73" s="13" t="s">
        <v>58</v>
      </c>
      <c r="C73" s="79">
        <f t="shared" si="11"/>
        <v>106335.88</v>
      </c>
      <c r="D73" s="55">
        <f>D72+A73</f>
        <v>743.85930953456682</v>
      </c>
      <c r="E73" s="80">
        <f>D73*C73/1000</f>
        <v>79098.934275550564</v>
      </c>
      <c r="F73" s="79">
        <f t="shared" si="13"/>
        <v>88523.367000000013</v>
      </c>
      <c r="G73" s="81"/>
      <c r="H73" s="82"/>
      <c r="I73" s="18">
        <f t="shared" si="14"/>
        <v>11874.418852344968</v>
      </c>
    </row>
    <row r="74" spans="1:13" x14ac:dyDescent="0.3">
      <c r="B74" s="13" t="s">
        <v>59</v>
      </c>
      <c r="C74" s="79">
        <f t="shared" si="11"/>
        <v>94231.594684142721</v>
      </c>
      <c r="D74" s="84">
        <f>'[7]Mensal USD'!$R$71</f>
        <v>572.84269131951839</v>
      </c>
      <c r="E74" s="80">
        <f t="shared" si="12"/>
        <v>53979.88030619434</v>
      </c>
      <c r="F74" s="79">
        <f t="shared" si="13"/>
        <v>99323.020800091981</v>
      </c>
      <c r="G74" s="81"/>
      <c r="H74" s="82"/>
      <c r="I74" s="18">
        <f t="shared" si="14"/>
        <v>-3855.3334149278903</v>
      </c>
    </row>
    <row r="75" spans="1:13" x14ac:dyDescent="0.3">
      <c r="B75" s="25" t="s">
        <v>60</v>
      </c>
      <c r="C75" s="79">
        <f t="shared" si="11"/>
        <v>7737.5399999999991</v>
      </c>
      <c r="D75" s="55">
        <f>D74</f>
        <v>572.84269131951839</v>
      </c>
      <c r="E75" s="80">
        <f>D75*C75/1000</f>
        <v>4432.3932377924257</v>
      </c>
      <c r="F75" s="79">
        <f t="shared" si="13"/>
        <v>7661.2250000000004</v>
      </c>
      <c r="G75" s="81"/>
      <c r="H75" s="82"/>
      <c r="I75" s="18">
        <f t="shared" si="14"/>
        <v>-33.365871279793396</v>
      </c>
    </row>
    <row r="76" spans="1:13" x14ac:dyDescent="0.3">
      <c r="B76" s="13" t="s">
        <v>61</v>
      </c>
      <c r="C76" s="79">
        <f t="shared" si="11"/>
        <v>3816.3261818387646</v>
      </c>
      <c r="D76" s="84">
        <f>D72</f>
        <v>663.85930953456682</v>
      </c>
      <c r="E76" s="80">
        <f t="shared" si="12"/>
        <v>2533.5036640341718</v>
      </c>
      <c r="F76" s="79">
        <f t="shared" si="13"/>
        <v>3627.2928948158055</v>
      </c>
      <c r="G76" s="81"/>
      <c r="H76" s="82"/>
      <c r="I76" s="18">
        <f t="shared" si="14"/>
        <v>81.432139420188477</v>
      </c>
    </row>
    <row r="77" spans="1:13" x14ac:dyDescent="0.3">
      <c r="B77" s="13" t="str">
        <f>B44</f>
        <v>Magnelis DM Industry</v>
      </c>
      <c r="C77" s="79">
        <f t="shared" si="11"/>
        <v>0</v>
      </c>
      <c r="D77" s="84">
        <f>D71</f>
        <v>663.85930953456682</v>
      </c>
      <c r="E77" s="80">
        <f>D77*C77/1000</f>
        <v>0</v>
      </c>
      <c r="F77" s="79">
        <f t="shared" si="13"/>
        <v>10000</v>
      </c>
      <c r="G77" s="81"/>
      <c r="H77" s="82"/>
      <c r="I77" s="18">
        <f t="shared" si="14"/>
        <v>-6638.5930953456682</v>
      </c>
    </row>
    <row r="78" spans="1:13" x14ac:dyDescent="0.3">
      <c r="B78" s="13" t="str">
        <f>B45</f>
        <v>Industry Imports</v>
      </c>
      <c r="C78" s="79">
        <f t="shared" si="11"/>
        <v>35399.969999999994</v>
      </c>
      <c r="D78" s="84">
        <f>D72</f>
        <v>663.85930953456682</v>
      </c>
      <c r="E78" s="80">
        <f t="shared" ref="E78:E80" si="15">D78*C78/1000</f>
        <v>23500.599641744375</v>
      </c>
      <c r="F78" s="79">
        <f t="shared" si="13"/>
        <v>17169.268000000007</v>
      </c>
      <c r="G78" s="81"/>
      <c r="H78" s="82"/>
      <c r="I78" s="18">
        <f t="shared" si="14"/>
        <v>11693.929680988031</v>
      </c>
    </row>
    <row r="79" spans="1:13" x14ac:dyDescent="0.3">
      <c r="B79" s="13" t="str">
        <f>B46</f>
        <v>Magnelis DM Downstream</v>
      </c>
      <c r="C79" s="79">
        <f t="shared" si="11"/>
        <v>0</v>
      </c>
      <c r="D79" s="84">
        <f>D77</f>
        <v>663.85930953456682</v>
      </c>
      <c r="E79" s="80">
        <f t="shared" si="15"/>
        <v>0</v>
      </c>
      <c r="F79" s="79">
        <f t="shared" si="13"/>
        <v>7002.88</v>
      </c>
      <c r="G79" s="81"/>
      <c r="H79" s="82"/>
      <c r="I79" s="18">
        <f t="shared" si="14"/>
        <v>-4648.9270815534273</v>
      </c>
    </row>
    <row r="80" spans="1:13" ht="14.4" thickBot="1" x14ac:dyDescent="0.35">
      <c r="B80" s="42" t="str">
        <f>B47</f>
        <v>HRC Aperam baixo carbono</v>
      </c>
      <c r="C80" s="79">
        <f t="shared" si="11"/>
        <v>0</v>
      </c>
      <c r="D80" s="84">
        <f>D47-30</f>
        <v>-30</v>
      </c>
      <c r="E80" s="80">
        <f t="shared" si="15"/>
        <v>0</v>
      </c>
      <c r="F80" s="79">
        <f t="shared" si="13"/>
        <v>0</v>
      </c>
      <c r="G80" s="81"/>
      <c r="H80" s="82"/>
      <c r="I80" s="18">
        <f t="shared" si="14"/>
        <v>0</v>
      </c>
    </row>
    <row r="81" spans="2:18" ht="14.4" thickBot="1" x14ac:dyDescent="0.35">
      <c r="B81" s="87" t="s">
        <v>69</v>
      </c>
      <c r="C81" s="88">
        <f>SUM(C50:C80)</f>
        <v>7232333.7353226142</v>
      </c>
      <c r="D81" s="89">
        <f>+E81/C81*1000</f>
        <v>477.9340211557668</v>
      </c>
      <c r="E81" s="88">
        <f>SUM(E50:E80)</f>
        <v>3456578.3444632441</v>
      </c>
      <c r="F81" s="88">
        <f>SUM(F50:F80)</f>
        <v>7106558.4866279848</v>
      </c>
      <c r="G81" s="89"/>
      <c r="H81" s="90"/>
      <c r="I81" s="88">
        <f>SUM(I50:I80)</f>
        <v>8451.3804410553839</v>
      </c>
    </row>
    <row r="82" spans="2:18" x14ac:dyDescent="0.3">
      <c r="B82" s="76" t="s">
        <v>70</v>
      </c>
      <c r="C82" s="77" t="s">
        <v>28</v>
      </c>
      <c r="D82" s="6" t="s">
        <v>29</v>
      </c>
      <c r="E82" s="78" t="s">
        <v>30</v>
      </c>
      <c r="F82" s="77" t="s">
        <v>28</v>
      </c>
      <c r="G82" s="6"/>
      <c r="H82" s="78"/>
      <c r="I82" s="16" t="s">
        <v>12</v>
      </c>
      <c r="J82" s="17" t="s">
        <v>71</v>
      </c>
      <c r="K82" s="17" t="s">
        <v>72</v>
      </c>
      <c r="L82" s="17" t="s">
        <v>10</v>
      </c>
      <c r="R82" s="2"/>
    </row>
    <row r="83" spans="2:18" x14ac:dyDescent="0.3">
      <c r="B83" s="13" t="s">
        <v>35</v>
      </c>
      <c r="C83" s="79">
        <f t="shared" ref="C83:C113" si="16">C50</f>
        <v>961000</v>
      </c>
      <c r="D83" s="55">
        <f t="shared" ref="D83:E98" si="17">D17-D50</f>
        <v>84.272668458113856</v>
      </c>
      <c r="E83" s="80">
        <f t="shared" si="17"/>
        <v>80986.034388247353</v>
      </c>
      <c r="F83" s="79">
        <f t="shared" ref="F83:F113" si="18">F50</f>
        <v>966247.86999999988</v>
      </c>
      <c r="G83" s="81"/>
      <c r="H83" s="82"/>
      <c r="I83" s="19">
        <f t="shared" ref="I83:I113" si="19">+I17+I50</f>
        <v>1850.6547439963251</v>
      </c>
      <c r="J83" s="18">
        <f t="shared" ref="J83:J113" si="20">F17-C17</f>
        <v>5247.8699999998789</v>
      </c>
      <c r="K83" s="19">
        <f>J83*D83/1000</f>
        <v>442.25200862127178</v>
      </c>
      <c r="L83" s="19">
        <f t="shared" ref="L83:L109" si="21">K83-I83</f>
        <v>-1408.4027353750535</v>
      </c>
      <c r="R83" s="2"/>
    </row>
    <row r="84" spans="2:18" x14ac:dyDescent="0.3">
      <c r="B84" s="13" t="s">
        <v>36</v>
      </c>
      <c r="C84" s="79">
        <f t="shared" si="16"/>
        <v>400000</v>
      </c>
      <c r="D84" s="55">
        <f t="shared" si="17"/>
        <v>28.199954689128276</v>
      </c>
      <c r="E84" s="80">
        <f t="shared" si="17"/>
        <v>11279.981875651312</v>
      </c>
      <c r="F84" s="79">
        <f t="shared" si="18"/>
        <v>997327.08221481298</v>
      </c>
      <c r="G84" s="81"/>
      <c r="H84" s="82"/>
      <c r="I84" s="19">
        <f t="shared" si="19"/>
        <v>17040.763281634834</v>
      </c>
      <c r="J84" s="18">
        <f t="shared" si="20"/>
        <v>597327.08221481298</v>
      </c>
      <c r="K84" s="19">
        <f t="shared" ref="K84:K109" si="22">J84*D84/1000</f>
        <v>16844.596653046927</v>
      </c>
      <c r="L84" s="19">
        <f t="shared" si="21"/>
        <v>-196.16662858790733</v>
      </c>
      <c r="R84" s="2"/>
    </row>
    <row r="85" spans="2:18" x14ac:dyDescent="0.3">
      <c r="B85" s="13" t="s">
        <v>37</v>
      </c>
      <c r="C85" s="79">
        <f t="shared" si="16"/>
        <v>1423164.3800000001</v>
      </c>
      <c r="D85" s="55">
        <f t="shared" si="17"/>
        <v>36.906952394043515</v>
      </c>
      <c r="E85" s="80">
        <f t="shared" si="17"/>
        <v>52524.660021558404</v>
      </c>
      <c r="F85" s="79">
        <f t="shared" si="18"/>
        <v>874385.0420000006</v>
      </c>
      <c r="G85" s="81"/>
      <c r="H85" s="82"/>
      <c r="I85" s="19">
        <f t="shared" si="19"/>
        <v>-19340.333006154309</v>
      </c>
      <c r="J85" s="18">
        <f t="shared" si="20"/>
        <v>-548779.33799999952</v>
      </c>
      <c r="K85" s="19">
        <f t="shared" si="22"/>
        <v>-20253.772902400699</v>
      </c>
      <c r="L85" s="19">
        <f t="shared" si="21"/>
        <v>-913.43989624638925</v>
      </c>
      <c r="R85" s="2"/>
    </row>
    <row r="86" spans="2:18" x14ac:dyDescent="0.3">
      <c r="B86" s="13" t="s">
        <v>38</v>
      </c>
      <c r="C86" s="79">
        <f t="shared" si="16"/>
        <v>31000.000000000004</v>
      </c>
      <c r="D86" s="55">
        <f t="shared" si="17"/>
        <v>0.72748998948657118</v>
      </c>
      <c r="E86" s="80">
        <f t="shared" si="17"/>
        <v>22.552189674082911</v>
      </c>
      <c r="F86" s="79">
        <f t="shared" si="18"/>
        <v>32424.16</v>
      </c>
      <c r="G86" s="81"/>
      <c r="H86" s="82"/>
      <c r="I86" s="21">
        <f t="shared" si="19"/>
        <v>1.4282602040632355</v>
      </c>
      <c r="J86" s="18">
        <f t="shared" si="20"/>
        <v>1424.1599999999962</v>
      </c>
      <c r="K86" s="21">
        <f t="shared" si="22"/>
        <v>1.0360621434271926</v>
      </c>
      <c r="L86" s="21">
        <f t="shared" si="21"/>
        <v>-0.3921980606360429</v>
      </c>
      <c r="R86" s="2"/>
    </row>
    <row r="87" spans="2:18" x14ac:dyDescent="0.3">
      <c r="B87" s="13" t="s">
        <v>39</v>
      </c>
      <c r="C87" s="79">
        <f t="shared" si="16"/>
        <v>18000</v>
      </c>
      <c r="D87" s="55">
        <f t="shared" si="17"/>
        <v>269.02612368960223</v>
      </c>
      <c r="E87" s="80">
        <f t="shared" si="17"/>
        <v>4842.4702264128409</v>
      </c>
      <c r="F87" s="79">
        <f t="shared" si="18"/>
        <v>16529.159999999996</v>
      </c>
      <c r="G87" s="81"/>
      <c r="H87" s="82"/>
      <c r="I87" s="21">
        <f t="shared" si="19"/>
        <v>-311.48050214752914</v>
      </c>
      <c r="J87" s="18">
        <f t="shared" si="20"/>
        <v>-1470.8400000000038</v>
      </c>
      <c r="K87" s="21">
        <f t="shared" si="22"/>
        <v>-395.69438376761553</v>
      </c>
      <c r="L87" s="21">
        <f t="shared" si="21"/>
        <v>-84.213881620086397</v>
      </c>
      <c r="R87" s="2"/>
    </row>
    <row r="88" spans="2:18" x14ac:dyDescent="0.3">
      <c r="B88" s="13" t="s">
        <v>40</v>
      </c>
      <c r="C88" s="79">
        <f t="shared" si="16"/>
        <v>433467</v>
      </c>
      <c r="D88" s="55">
        <f t="shared" si="17"/>
        <v>36.052263114102971</v>
      </c>
      <c r="E88" s="80">
        <f t="shared" si="17"/>
        <v>15627.466335280857</v>
      </c>
      <c r="F88" s="79">
        <f t="shared" si="18"/>
        <v>197566.82000000007</v>
      </c>
      <c r="G88" s="81"/>
      <c r="H88" s="82"/>
      <c r="I88" s="19">
        <f t="shared" si="19"/>
        <v>-8232.9629901110748</v>
      </c>
      <c r="J88" s="18">
        <f t="shared" si="20"/>
        <v>-235900.17999999993</v>
      </c>
      <c r="K88" s="19">
        <f t="shared" si="22"/>
        <v>-8504.7353580242489</v>
      </c>
      <c r="L88" s="19">
        <f t="shared" si="21"/>
        <v>-271.77236791317409</v>
      </c>
      <c r="R88" s="2"/>
    </row>
    <row r="89" spans="2:18" x14ac:dyDescent="0.3">
      <c r="B89" s="91" t="s">
        <v>41</v>
      </c>
      <c r="C89" s="92">
        <f t="shared" si="16"/>
        <v>85817.96</v>
      </c>
      <c r="D89" s="93">
        <f t="shared" si="17"/>
        <v>244.22864382719018</v>
      </c>
      <c r="E89" s="94">
        <f t="shared" si="17"/>
        <v>20959.20398681605</v>
      </c>
      <c r="F89" s="79">
        <f t="shared" si="18"/>
        <v>100236.84017419748</v>
      </c>
      <c r="G89" s="81"/>
      <c r="H89" s="82"/>
      <c r="I89" s="21">
        <f t="shared" si="19"/>
        <v>3885.9984963919514</v>
      </c>
      <c r="J89" s="18">
        <f t="shared" si="20"/>
        <v>14418.880174197475</v>
      </c>
      <c r="K89" s="21">
        <f t="shared" si="22"/>
        <v>3521.5035504510092</v>
      </c>
      <c r="L89" s="21">
        <f t="shared" si="21"/>
        <v>-364.49494594094222</v>
      </c>
      <c r="R89" s="2"/>
    </row>
    <row r="90" spans="2:18" x14ac:dyDescent="0.3">
      <c r="B90" s="13" t="s">
        <v>42</v>
      </c>
      <c r="C90" s="79">
        <f t="shared" si="16"/>
        <v>1438681.32</v>
      </c>
      <c r="D90" s="55">
        <f t="shared" si="17"/>
        <v>221.55976110392072</v>
      </c>
      <c r="E90" s="80">
        <f t="shared" si="17"/>
        <v>318753.88956387329</v>
      </c>
      <c r="F90" s="79">
        <f t="shared" si="18"/>
        <v>1441770.7359999982</v>
      </c>
      <c r="G90" s="81"/>
      <c r="H90" s="82"/>
      <c r="I90" s="21">
        <f t="shared" si="19"/>
        <v>6227.8392367455326</v>
      </c>
      <c r="J90" s="18">
        <f t="shared" si="20"/>
        <v>3089.4159999981057</v>
      </c>
      <c r="K90" s="21">
        <f t="shared" si="22"/>
        <v>684.49027091021071</v>
      </c>
      <c r="L90" s="21">
        <f t="shared" si="21"/>
        <v>-5543.3489658353219</v>
      </c>
      <c r="R90" s="2"/>
    </row>
    <row r="91" spans="2:18" x14ac:dyDescent="0.3">
      <c r="B91" s="13" t="s">
        <v>43</v>
      </c>
      <c r="C91" s="79">
        <f t="shared" si="16"/>
        <v>427373.81000000006</v>
      </c>
      <c r="D91" s="55">
        <f t="shared" si="17"/>
        <v>238.29190343670007</v>
      </c>
      <c r="E91" s="80">
        <f t="shared" si="17"/>
        <v>101839.71866389463</v>
      </c>
      <c r="F91" s="79">
        <f t="shared" si="18"/>
        <v>446359.43442400004</v>
      </c>
      <c r="G91" s="81"/>
      <c r="H91" s="82"/>
      <c r="I91" s="21">
        <f t="shared" si="19"/>
        <v>6295.1832030281639</v>
      </c>
      <c r="J91" s="18">
        <f t="shared" si="20"/>
        <v>18985.62442399998</v>
      </c>
      <c r="K91" s="21">
        <f>J91*D91/1000</f>
        <v>4524.1205819292572</v>
      </c>
      <c r="L91" s="21">
        <f>K91-I91</f>
        <v>-1771.0626210989067</v>
      </c>
      <c r="R91" s="2"/>
    </row>
    <row r="92" spans="2:18" x14ac:dyDescent="0.3">
      <c r="B92" s="91" t="s">
        <v>44</v>
      </c>
      <c r="C92" s="92">
        <f t="shared" si="16"/>
        <v>102999.19000000002</v>
      </c>
      <c r="D92" s="93">
        <f t="shared" si="17"/>
        <v>341.9938587047485</v>
      </c>
      <c r="E92" s="94">
        <f t="shared" si="17"/>
        <v>35225.090431563549</v>
      </c>
      <c r="F92" s="79">
        <f t="shared" si="18"/>
        <v>90523.857724700007</v>
      </c>
      <c r="G92" s="81"/>
      <c r="H92" s="82"/>
      <c r="I92" s="21">
        <f t="shared" si="19"/>
        <v>-3653.8985186281807</v>
      </c>
      <c r="J92" s="18">
        <f t="shared" si="20"/>
        <v>-12475.33227530001</v>
      </c>
      <c r="K92" s="21">
        <f>J92*D92/1000</f>
        <v>-4266.4870234537402</v>
      </c>
      <c r="L92" s="21">
        <f>K92-I92</f>
        <v>-612.58850482555954</v>
      </c>
      <c r="R92" s="2"/>
    </row>
    <row r="93" spans="2:18" x14ac:dyDescent="0.3">
      <c r="B93" s="13" t="s">
        <v>45</v>
      </c>
      <c r="C93" s="79">
        <f t="shared" si="16"/>
        <v>0</v>
      </c>
      <c r="D93" s="55">
        <f t="shared" si="17"/>
        <v>269.38858166534862</v>
      </c>
      <c r="E93" s="80">
        <f t="shared" si="17"/>
        <v>0</v>
      </c>
      <c r="F93" s="79">
        <f t="shared" si="18"/>
        <v>45424.208000000021</v>
      </c>
      <c r="G93" s="81"/>
      <c r="H93" s="82"/>
      <c r="I93" s="21">
        <f t="shared" si="19"/>
        <v>12236.762966391787</v>
      </c>
      <c r="J93" s="18">
        <f t="shared" si="20"/>
        <v>45424.208000000021</v>
      </c>
      <c r="K93" s="21">
        <f t="shared" si="22"/>
        <v>12236.762966391787</v>
      </c>
      <c r="L93" s="21">
        <f t="shared" si="21"/>
        <v>0</v>
      </c>
      <c r="R93" s="2"/>
    </row>
    <row r="94" spans="2:18" x14ac:dyDescent="0.3">
      <c r="B94" s="91" t="s">
        <v>46</v>
      </c>
      <c r="C94" s="92">
        <f t="shared" si="16"/>
        <v>1220.3923579624538</v>
      </c>
      <c r="D94" s="93">
        <f t="shared" si="17"/>
        <v>388.26831379374886</v>
      </c>
      <c r="E94" s="94">
        <f t="shared" si="17"/>
        <v>473.83968299285903</v>
      </c>
      <c r="F94" s="79">
        <f t="shared" si="18"/>
        <v>1887.8105506815871</v>
      </c>
      <c r="G94" s="81"/>
      <c r="H94" s="82"/>
      <c r="I94" s="19">
        <f t="shared" si="19"/>
        <v>267.37773366315508</v>
      </c>
      <c r="J94" s="18">
        <f t="shared" si="20"/>
        <v>667.41819271913323</v>
      </c>
      <c r="K94" s="19">
        <f t="shared" si="22"/>
        <v>259.13733628232916</v>
      </c>
      <c r="L94" s="19">
        <f t="shared" si="21"/>
        <v>-8.2403973808259252</v>
      </c>
      <c r="R94" s="2"/>
    </row>
    <row r="95" spans="2:18" x14ac:dyDescent="0.3">
      <c r="B95" s="13" t="s">
        <v>47</v>
      </c>
      <c r="C95" s="79">
        <f t="shared" si="16"/>
        <v>492.26</v>
      </c>
      <c r="D95" s="55">
        <f t="shared" si="17"/>
        <v>-171.40909091166469</v>
      </c>
      <c r="E95" s="80">
        <f t="shared" si="17"/>
        <v>-84.377839092176032</v>
      </c>
      <c r="F95" s="79">
        <f t="shared" si="18"/>
        <v>4847.375</v>
      </c>
      <c r="G95" s="81"/>
      <c r="H95" s="82"/>
      <c r="I95" s="19">
        <f t="shared" si="19"/>
        <v>-747.97369151342355</v>
      </c>
      <c r="J95" s="18">
        <f t="shared" si="20"/>
        <v>4355.1149999999998</v>
      </c>
      <c r="K95" s="19">
        <f t="shared" si="22"/>
        <v>-746.50630296575457</v>
      </c>
      <c r="L95" s="19">
        <f t="shared" si="21"/>
        <v>1.4673885476689748</v>
      </c>
      <c r="R95" s="2"/>
    </row>
    <row r="96" spans="2:18" x14ac:dyDescent="0.3">
      <c r="B96" s="91" t="s">
        <v>48</v>
      </c>
      <c r="C96" s="92">
        <f t="shared" si="16"/>
        <v>90127.470395196156</v>
      </c>
      <c r="D96" s="93">
        <f t="shared" si="17"/>
        <v>427.29820281741667</v>
      </c>
      <c r="E96" s="94">
        <f t="shared" si="17"/>
        <v>38511.306124347248</v>
      </c>
      <c r="F96" s="79">
        <f t="shared" si="18"/>
        <v>95622.293215625148</v>
      </c>
      <c r="G96" s="81"/>
      <c r="H96" s="82"/>
      <c r="I96" s="21">
        <f t="shared" si="19"/>
        <v>3017.6659676978684</v>
      </c>
      <c r="J96" s="18">
        <f t="shared" si="20"/>
        <v>5494.8228204289917</v>
      </c>
      <c r="K96" s="21">
        <f t="shared" si="22"/>
        <v>2347.927915969437</v>
      </c>
      <c r="L96" s="21">
        <f t="shared" si="21"/>
        <v>-669.7380517284314</v>
      </c>
      <c r="R96" s="2"/>
    </row>
    <row r="97" spans="2:18" x14ac:dyDescent="0.3">
      <c r="B97" s="13" t="s">
        <v>49</v>
      </c>
      <c r="C97" s="79">
        <f t="shared" si="16"/>
        <v>265325.53999999992</v>
      </c>
      <c r="D97" s="55">
        <f t="shared" si="17"/>
        <v>293.49176401400945</v>
      </c>
      <c r="E97" s="80">
        <f t="shared" si="17"/>
        <v>77870.860772569606</v>
      </c>
      <c r="F97" s="79">
        <f t="shared" si="18"/>
        <v>286122.31839448167</v>
      </c>
      <c r="G97" s="81"/>
      <c r="H97" s="82"/>
      <c r="I97" s="21">
        <f t="shared" si="19"/>
        <v>7457.9109044192701</v>
      </c>
      <c r="J97" s="18">
        <f t="shared" si="20"/>
        <v>20796.778394481749</v>
      </c>
      <c r="K97" s="21">
        <f t="shared" si="22"/>
        <v>6103.6831768048878</v>
      </c>
      <c r="L97" s="21">
        <f t="shared" si="21"/>
        <v>-1354.2277276143823</v>
      </c>
      <c r="R97" s="2"/>
    </row>
    <row r="98" spans="2:18" x14ac:dyDescent="0.3">
      <c r="B98" s="13" t="s">
        <v>50</v>
      </c>
      <c r="C98" s="79">
        <f t="shared" si="16"/>
        <v>110301.97000000002</v>
      </c>
      <c r="D98" s="55">
        <f t="shared" si="17"/>
        <v>258.77639524131905</v>
      </c>
      <c r="E98" s="80">
        <f t="shared" si="17"/>
        <v>28543.54618461612</v>
      </c>
      <c r="F98" s="79">
        <f t="shared" si="18"/>
        <v>117390.91099999999</v>
      </c>
      <c r="G98" s="81"/>
      <c r="H98" s="82"/>
      <c r="I98" s="21">
        <f t="shared" si="19"/>
        <v>2330.8424615122076</v>
      </c>
      <c r="J98" s="18">
        <f t="shared" si="20"/>
        <v>7088.9409999999771</v>
      </c>
      <c r="K98" s="21">
        <f>J98*D98/1000</f>
        <v>1834.4505980583856</v>
      </c>
      <c r="L98" s="21">
        <f>K98-I98</f>
        <v>-496.391863453822</v>
      </c>
      <c r="R98" s="2"/>
    </row>
    <row r="99" spans="2:18" x14ac:dyDescent="0.3">
      <c r="B99" s="91" t="s">
        <v>51</v>
      </c>
      <c r="C99" s="92">
        <f t="shared" si="16"/>
        <v>49551.853244528029</v>
      </c>
      <c r="D99" s="93">
        <f t="shared" ref="D99:E113" si="23">D33-D66</f>
        <v>445.45555598797739</v>
      </c>
      <c r="E99" s="94">
        <f t="shared" si="23"/>
        <v>22073.148337275892</v>
      </c>
      <c r="F99" s="79">
        <f t="shared" si="18"/>
        <v>41148.523634731071</v>
      </c>
      <c r="G99" s="81"/>
      <c r="H99" s="82"/>
      <c r="I99" s="19">
        <f t="shared" si="19"/>
        <v>-3359.4426605579038</v>
      </c>
      <c r="J99" s="18">
        <f t="shared" si="20"/>
        <v>-8403.3296097969578</v>
      </c>
      <c r="K99" s="19">
        <f t="shared" si="22"/>
        <v>-3743.3098634823368</v>
      </c>
      <c r="L99" s="19">
        <f t="shared" si="21"/>
        <v>-383.86720292443306</v>
      </c>
      <c r="R99" s="2"/>
    </row>
    <row r="100" spans="2:18" x14ac:dyDescent="0.3">
      <c r="B100" s="13" t="s">
        <v>52</v>
      </c>
      <c r="C100" s="79">
        <f t="shared" si="16"/>
        <v>1014.1200000000001</v>
      </c>
      <c r="D100" s="55">
        <f t="shared" si="23"/>
        <v>-268.88972499172542</v>
      </c>
      <c r="E100" s="80">
        <f t="shared" si="23"/>
        <v>-272.68644790860861</v>
      </c>
      <c r="F100" s="79">
        <f t="shared" si="18"/>
        <v>2599.1210000000001</v>
      </c>
      <c r="G100" s="81"/>
      <c r="H100" s="82"/>
      <c r="I100" s="19">
        <f t="shared" si="19"/>
        <v>-430.93268753150505</v>
      </c>
      <c r="J100" s="18">
        <f t="shared" si="20"/>
        <v>1585.001</v>
      </c>
      <c r="K100" s="19">
        <f t="shared" si="22"/>
        <v>-426.19048300160972</v>
      </c>
      <c r="L100" s="19">
        <f t="shared" si="21"/>
        <v>4.7422045298953321</v>
      </c>
      <c r="R100" s="2"/>
    </row>
    <row r="101" spans="2:18" x14ac:dyDescent="0.3">
      <c r="B101" s="91" t="s">
        <v>53</v>
      </c>
      <c r="C101" s="92">
        <f t="shared" si="16"/>
        <v>463694.02845894557</v>
      </c>
      <c r="D101" s="93">
        <f t="shared" si="23"/>
        <v>472.53611398332612</v>
      </c>
      <c r="E101" s="94">
        <f t="shared" si="23"/>
        <v>219112.17428526399</v>
      </c>
      <c r="F101" s="79">
        <f t="shared" si="18"/>
        <v>463787.28951984947</v>
      </c>
      <c r="G101" s="81"/>
      <c r="H101" s="82"/>
      <c r="I101" s="21">
        <f t="shared" si="19"/>
        <v>3854.580351853605</v>
      </c>
      <c r="J101" s="18">
        <f t="shared" si="20"/>
        <v>93.261060903896578</v>
      </c>
      <c r="K101" s="21">
        <f t="shared" si="22"/>
        <v>44.06921930548959</v>
      </c>
      <c r="L101" s="21">
        <f t="shared" si="21"/>
        <v>-3810.5111325481153</v>
      </c>
      <c r="R101" s="2"/>
    </row>
    <row r="102" spans="2:18" x14ac:dyDescent="0.3">
      <c r="B102" s="13" t="s">
        <v>54</v>
      </c>
      <c r="C102" s="79">
        <f t="shared" si="16"/>
        <v>416584.70999999996</v>
      </c>
      <c r="D102" s="55">
        <f t="shared" si="23"/>
        <v>256.57829608609347</v>
      </c>
      <c r="E102" s="80">
        <f t="shared" si="23"/>
        <v>106886.59506731937</v>
      </c>
      <c r="F102" s="79">
        <f t="shared" si="18"/>
        <v>438619.17</v>
      </c>
      <c r="G102" s="81"/>
      <c r="H102" s="82"/>
      <c r="I102" s="21">
        <f t="shared" si="19"/>
        <v>7512.3954684403834</v>
      </c>
      <c r="J102" s="18">
        <f t="shared" si="20"/>
        <v>22034.460000000021</v>
      </c>
      <c r="K102" s="21">
        <f t="shared" si="22"/>
        <v>5653.5642019771885</v>
      </c>
      <c r="L102" s="21">
        <f t="shared" si="21"/>
        <v>-1858.8312664631949</v>
      </c>
      <c r="R102" s="2"/>
    </row>
    <row r="103" spans="2:18" x14ac:dyDescent="0.3">
      <c r="B103" s="13" t="s">
        <v>55</v>
      </c>
      <c r="C103" s="79">
        <f t="shared" si="16"/>
        <v>83539.329999999987</v>
      </c>
      <c r="D103" s="55">
        <f t="shared" si="23"/>
        <v>208.09741659024064</v>
      </c>
      <c r="E103" s="80">
        <f t="shared" si="23"/>
        <v>17384.318756679582</v>
      </c>
      <c r="F103" s="79">
        <f t="shared" si="18"/>
        <v>76159.621079999997</v>
      </c>
      <c r="G103" s="81"/>
      <c r="H103" s="82"/>
      <c r="I103" s="21">
        <f t="shared" si="19"/>
        <v>-1233.3731238296955</v>
      </c>
      <c r="J103" s="18">
        <f t="shared" si="20"/>
        <v>-7379.70891999999</v>
      </c>
      <c r="K103" s="21">
        <f>J103*D103/1000</f>
        <v>-1535.6983614399528</v>
      </c>
      <c r="L103" s="21">
        <f>K103-I103</f>
        <v>-302.32523761025732</v>
      </c>
      <c r="R103" s="2"/>
    </row>
    <row r="104" spans="2:18" x14ac:dyDescent="0.3">
      <c r="B104" s="13" t="s">
        <v>56</v>
      </c>
      <c r="C104" s="79">
        <f t="shared" si="16"/>
        <v>0</v>
      </c>
      <c r="D104" s="55">
        <f t="shared" si="23"/>
        <v>-663.85930953456682</v>
      </c>
      <c r="E104" s="80">
        <f t="shared" si="23"/>
        <v>0</v>
      </c>
      <c r="F104" s="79">
        <f t="shared" si="18"/>
        <v>0</v>
      </c>
      <c r="G104" s="81"/>
      <c r="H104" s="82"/>
      <c r="I104" s="19">
        <f t="shared" si="19"/>
        <v>0</v>
      </c>
      <c r="J104" s="18">
        <f t="shared" si="20"/>
        <v>0</v>
      </c>
      <c r="K104" s="19">
        <f t="shared" si="22"/>
        <v>0</v>
      </c>
      <c r="L104" s="19">
        <f t="shared" si="21"/>
        <v>0</v>
      </c>
      <c r="R104" s="2"/>
    </row>
    <row r="105" spans="2:18" x14ac:dyDescent="0.3">
      <c r="B105" s="13" t="s">
        <v>57</v>
      </c>
      <c r="C105" s="79">
        <f t="shared" si="16"/>
        <v>181457.09000000003</v>
      </c>
      <c r="D105" s="55">
        <f t="shared" si="23"/>
        <v>309.16229939933601</v>
      </c>
      <c r="E105" s="80">
        <f t="shared" si="23"/>
        <v>56099.69118671224</v>
      </c>
      <c r="F105" s="79">
        <f t="shared" si="18"/>
        <v>136271.78900000008</v>
      </c>
      <c r="G105" s="81"/>
      <c r="H105" s="82"/>
      <c r="I105" s="21">
        <f t="shared" si="19"/>
        <v>-12993.979413723879</v>
      </c>
      <c r="J105" s="18">
        <f t="shared" si="20"/>
        <v>-45185.300999999949</v>
      </c>
      <c r="K105" s="21">
        <f t="shared" si="22"/>
        <v>-13969.5915562111</v>
      </c>
      <c r="L105" s="21">
        <f t="shared" si="21"/>
        <v>-975.61214248722172</v>
      </c>
      <c r="R105" s="2"/>
    </row>
    <row r="106" spans="2:18" x14ac:dyDescent="0.3">
      <c r="B106" s="13" t="s">
        <v>58</v>
      </c>
      <c r="C106" s="79">
        <f t="shared" si="16"/>
        <v>106335.88</v>
      </c>
      <c r="D106" s="55">
        <f t="shared" si="23"/>
        <v>344.25133478081852</v>
      </c>
      <c r="E106" s="80">
        <f t="shared" si="23"/>
        <v>36606.268625092955</v>
      </c>
      <c r="F106" s="79">
        <f t="shared" si="18"/>
        <v>88523.367000000013</v>
      </c>
      <c r="G106" s="81"/>
      <c r="H106" s="82"/>
      <c r="I106" s="21">
        <f t="shared" si="19"/>
        <v>-5495.3732342531312</v>
      </c>
      <c r="J106" s="18">
        <f t="shared" si="20"/>
        <v>-17812.512999999992</v>
      </c>
      <c r="K106" s="21">
        <f>J106*D106/1000</f>
        <v>-6131.9813760506786</v>
      </c>
      <c r="L106" s="21">
        <f>K106-I106</f>
        <v>-636.60814179754743</v>
      </c>
      <c r="R106" s="2"/>
    </row>
    <row r="107" spans="2:18" x14ac:dyDescent="0.3">
      <c r="B107" s="91" t="s">
        <v>59</v>
      </c>
      <c r="C107" s="92">
        <f t="shared" si="16"/>
        <v>94231.594684142721</v>
      </c>
      <c r="D107" s="93">
        <f t="shared" si="23"/>
        <v>718.52838199190626</v>
      </c>
      <c r="E107" s="94">
        <f t="shared" si="23"/>
        <v>67708.075260914193</v>
      </c>
      <c r="F107" s="79">
        <f t="shared" si="18"/>
        <v>99323.020800091981</v>
      </c>
      <c r="G107" s="81"/>
      <c r="H107" s="82"/>
      <c r="I107" s="21">
        <f t="shared" si="19"/>
        <v>4835.8240798822244</v>
      </c>
      <c r="J107" s="18">
        <f t="shared" si="20"/>
        <v>5091.4261159492598</v>
      </c>
      <c r="K107" s="21">
        <f t="shared" si="22"/>
        <v>3658.3341691243572</v>
      </c>
      <c r="L107" s="21">
        <f t="shared" si="21"/>
        <v>-1177.4899107578672</v>
      </c>
      <c r="R107" s="2"/>
    </row>
    <row r="108" spans="2:18" x14ac:dyDescent="0.3">
      <c r="B108" s="13" t="s">
        <v>60</v>
      </c>
      <c r="C108" s="79">
        <f t="shared" si="16"/>
        <v>7737.5399999999991</v>
      </c>
      <c r="D108" s="55">
        <f t="shared" si="23"/>
        <v>275.87626895466155</v>
      </c>
      <c r="E108" s="80">
        <f t="shared" si="23"/>
        <v>2134.6036660874515</v>
      </c>
      <c r="F108" s="79">
        <f t="shared" si="18"/>
        <v>7661.2250000000004</v>
      </c>
      <c r="G108" s="81"/>
      <c r="H108" s="82"/>
      <c r="I108" s="21">
        <f t="shared" si="19"/>
        <v>16.068725705285559</v>
      </c>
      <c r="J108" s="18">
        <f t="shared" si="20"/>
        <v>-76.31499999999869</v>
      </c>
      <c r="K108" s="21">
        <f>J108*D108/1000</f>
        <v>-21.053497465274635</v>
      </c>
      <c r="L108" s="21">
        <f>K108-I108</f>
        <v>-37.12222317056019</v>
      </c>
      <c r="R108" s="2"/>
    </row>
    <row r="109" spans="2:18" x14ac:dyDescent="0.3">
      <c r="B109" s="91" t="s">
        <v>61</v>
      </c>
      <c r="C109" s="92">
        <f t="shared" si="16"/>
        <v>3816.3261818387646</v>
      </c>
      <c r="D109" s="93">
        <f t="shared" si="23"/>
        <v>1208.6233558892334</v>
      </c>
      <c r="E109" s="94">
        <f t="shared" si="23"/>
        <v>4612.5009570619131</v>
      </c>
      <c r="F109" s="79">
        <f t="shared" si="18"/>
        <v>3627.2928948158055</v>
      </c>
      <c r="G109" s="81"/>
      <c r="H109" s="82"/>
      <c r="I109" s="21">
        <f t="shared" si="19"/>
        <v>-148.25548758557164</v>
      </c>
      <c r="J109" s="18">
        <f t="shared" si="20"/>
        <v>-189.03328702295903</v>
      </c>
      <c r="K109" s="21">
        <f t="shared" si="22"/>
        <v>-228.4700457364614</v>
      </c>
      <c r="L109" s="21">
        <f t="shared" si="21"/>
        <v>-80.214558150889758</v>
      </c>
      <c r="R109" s="2"/>
    </row>
    <row r="110" spans="2:18" x14ac:dyDescent="0.3">
      <c r="B110" s="13" t="str">
        <f>B77</f>
        <v>Magnelis DM Industry</v>
      </c>
      <c r="C110" s="79">
        <f t="shared" si="16"/>
        <v>0</v>
      </c>
      <c r="D110" s="55">
        <f t="shared" si="23"/>
        <v>-182.6228988553986</v>
      </c>
      <c r="E110" s="80">
        <f t="shared" si="23"/>
        <v>0</v>
      </c>
      <c r="F110" s="79">
        <f t="shared" si="18"/>
        <v>10000</v>
      </c>
      <c r="G110" s="81"/>
      <c r="H110" s="82"/>
      <c r="I110" s="19">
        <f t="shared" si="19"/>
        <v>-1826.2289885539858</v>
      </c>
      <c r="J110" s="18">
        <f t="shared" si="20"/>
        <v>10000</v>
      </c>
      <c r="K110" s="19">
        <f>J110*D110/1000</f>
        <v>-1826.228988553986</v>
      </c>
      <c r="L110" s="19">
        <f>K110-I110</f>
        <v>0</v>
      </c>
      <c r="R110" s="2"/>
    </row>
    <row r="111" spans="2:18" x14ac:dyDescent="0.3">
      <c r="B111" s="13" t="str">
        <f>B78</f>
        <v>Industry Imports</v>
      </c>
      <c r="C111" s="79">
        <f t="shared" si="16"/>
        <v>35399.969999999994</v>
      </c>
      <c r="D111" s="55">
        <f t="shared" si="23"/>
        <v>284.85966315171265</v>
      </c>
      <c r="E111" s="80">
        <f t="shared" si="23"/>
        <v>10084.02352978073</v>
      </c>
      <c r="F111" s="79">
        <f t="shared" si="18"/>
        <v>17169.268000000007</v>
      </c>
      <c r="G111" s="81"/>
      <c r="H111" s="82"/>
      <c r="I111" s="21">
        <f t="shared" si="19"/>
        <v>-5017.8235388180747</v>
      </c>
      <c r="J111" s="18">
        <f t="shared" si="20"/>
        <v>-18230.701999999987</v>
      </c>
      <c r="K111" s="21">
        <f t="shared" ref="K111:K113" si="24">J111*D111/1000</f>
        <v>-5193.1916307392503</v>
      </c>
      <c r="L111" s="21">
        <f t="shared" ref="L111:L113" si="25">K111-I111</f>
        <v>-175.36809192117562</v>
      </c>
      <c r="R111" s="2"/>
    </row>
    <row r="112" spans="2:18" x14ac:dyDescent="0.3">
      <c r="B112" s="25" t="str">
        <f>B79</f>
        <v>Magnelis DM Downstream</v>
      </c>
      <c r="C112" s="79">
        <f t="shared" si="16"/>
        <v>0</v>
      </c>
      <c r="D112" s="55">
        <f t="shared" si="23"/>
        <v>343.65894326928276</v>
      </c>
      <c r="E112" s="80">
        <f t="shared" si="23"/>
        <v>0</v>
      </c>
      <c r="F112" s="79">
        <f t="shared" si="18"/>
        <v>7002.88</v>
      </c>
      <c r="G112" s="81"/>
      <c r="H112" s="82"/>
      <c r="I112" s="21">
        <f t="shared" si="19"/>
        <v>2406.6023406415943</v>
      </c>
      <c r="J112" s="18">
        <f t="shared" si="20"/>
        <v>7002.88</v>
      </c>
      <c r="K112" s="21">
        <f t="shared" si="24"/>
        <v>2406.6023406415948</v>
      </c>
      <c r="L112" s="21">
        <f t="shared" si="25"/>
        <v>0</v>
      </c>
      <c r="R112" s="2"/>
    </row>
    <row r="113" spans="2:18" ht="14.4" thickBot="1" x14ac:dyDescent="0.35">
      <c r="B113" s="25" t="str">
        <f>B80</f>
        <v>HRC Aperam baixo carbono</v>
      </c>
      <c r="C113" s="55">
        <f t="shared" si="16"/>
        <v>0</v>
      </c>
      <c r="D113" s="55">
        <f t="shared" si="23"/>
        <v>30</v>
      </c>
      <c r="E113" s="80">
        <f t="shared" si="23"/>
        <v>0</v>
      </c>
      <c r="F113" s="79">
        <f t="shared" si="18"/>
        <v>0</v>
      </c>
      <c r="G113" s="81"/>
      <c r="H113" s="82"/>
      <c r="I113" s="21">
        <f t="shared" si="19"/>
        <v>0</v>
      </c>
      <c r="J113" s="18">
        <f t="shared" si="20"/>
        <v>0</v>
      </c>
      <c r="K113" s="21">
        <f t="shared" si="24"/>
        <v>0</v>
      </c>
      <c r="L113" s="21">
        <f t="shared" si="25"/>
        <v>0</v>
      </c>
      <c r="R113" s="2"/>
    </row>
    <row r="114" spans="2:18" ht="14.4" thickBot="1" x14ac:dyDescent="0.35">
      <c r="B114" s="72" t="s">
        <v>73</v>
      </c>
      <c r="C114" s="75">
        <f>SUM(C83:C113)</f>
        <v>7232333.7353226142</v>
      </c>
      <c r="D114" s="89">
        <f>E114/C114*1000</f>
        <v>183.86941262651328</v>
      </c>
      <c r="E114" s="75">
        <f>SUM(E83:E113)</f>
        <v>1329804.9558326858</v>
      </c>
      <c r="F114" s="75">
        <f>SUM(F83:F113)</f>
        <v>7106558.4866279848</v>
      </c>
      <c r="G114" s="89"/>
      <c r="H114" s="90"/>
      <c r="I114" s="75">
        <f>SUM(I83:I113)</f>
        <v>16445.840378799981</v>
      </c>
      <c r="J114" s="75">
        <f>SUM(J83:J113)</f>
        <v>-125775.24869462778</v>
      </c>
      <c r="K114" s="75">
        <f>SUM(K83:K113)</f>
        <v>-6680.3807216351506</v>
      </c>
      <c r="L114" s="75">
        <f>SUM(L83:L113)</f>
        <v>-23126.221100435134</v>
      </c>
      <c r="R114" s="2"/>
    </row>
    <row r="115" spans="2:18" x14ac:dyDescent="0.3">
      <c r="B115" s="76" t="s">
        <v>74</v>
      </c>
      <c r="C115" s="95"/>
      <c r="D115" s="96"/>
      <c r="E115" s="78" t="s">
        <v>30</v>
      </c>
      <c r="F115" s="97"/>
      <c r="G115" s="98"/>
      <c r="H115" s="78" t="s">
        <v>30</v>
      </c>
      <c r="I115" s="16" t="s">
        <v>75</v>
      </c>
      <c r="J115" s="16" t="s">
        <v>76</v>
      </c>
      <c r="L115" s="99"/>
      <c r="R115" s="2"/>
    </row>
    <row r="116" spans="2:18" x14ac:dyDescent="0.3">
      <c r="B116" s="13" t="s">
        <v>77</v>
      </c>
      <c r="C116" s="100"/>
      <c r="D116" s="81"/>
      <c r="E116" s="56">
        <f>[8]FYB26xFYMRF7!$D$9+[8]FYB26xFYMRF7!$D$35</f>
        <v>290502.46044270345</v>
      </c>
      <c r="F116" s="101"/>
      <c r="G116" s="102"/>
      <c r="H116" s="56">
        <f>[8]FYB26xFYMRF7!$G$9+[8]FYB26xFYMRF7!$G$35</f>
        <v>335945.75819845067</v>
      </c>
      <c r="I116" s="103">
        <f>H116*($H$125/$E$125-1)</f>
        <v>-14075.790740054203</v>
      </c>
      <c r="J116" s="104">
        <f>E116-H116-I116</f>
        <v>-31367.507015693016</v>
      </c>
      <c r="L116" s="99"/>
      <c r="R116" s="2"/>
    </row>
    <row r="117" spans="2:18" x14ac:dyDescent="0.3">
      <c r="B117" s="13" t="s">
        <v>78</v>
      </c>
      <c r="C117" s="100"/>
      <c r="D117" s="81"/>
      <c r="E117" s="56">
        <f>[8]FYB26xFYMRF7!$D$10</f>
        <v>162910.37548555571</v>
      </c>
      <c r="F117" s="101"/>
      <c r="G117" s="102"/>
      <c r="H117" s="56">
        <f>[8]FYB26xFYMRF7!$G$10</f>
        <v>173542.33833959477</v>
      </c>
      <c r="I117" s="103">
        <f t="shared" ref="I117:I123" si="26">H117*($H$125/$E$125-1)</f>
        <v>-7271.2501330790346</v>
      </c>
      <c r="J117" s="104">
        <f t="shared" ref="J117:J124" si="27">E117-H117-I117</f>
        <v>-3360.7127209600349</v>
      </c>
      <c r="L117" s="99"/>
      <c r="R117" s="2"/>
    </row>
    <row r="118" spans="2:18" x14ac:dyDescent="0.3">
      <c r="B118" s="13" t="s">
        <v>79</v>
      </c>
      <c r="C118" s="100"/>
      <c r="D118" s="81"/>
      <c r="E118" s="56">
        <f>[8]FYB26xFYMRF7!$D$11</f>
        <v>455.31968888888878</v>
      </c>
      <c r="F118" s="101"/>
      <c r="G118" s="102"/>
      <c r="H118" s="56">
        <f>[8]FYB26xFYMRF7!$G$11</f>
        <v>476.59812750037719</v>
      </c>
      <c r="I118" s="103"/>
      <c r="J118" s="104">
        <f t="shared" si="27"/>
        <v>-21.278438611488411</v>
      </c>
      <c r="L118" s="99"/>
      <c r="R118" s="2"/>
    </row>
    <row r="119" spans="2:18" x14ac:dyDescent="0.3">
      <c r="B119" s="13" t="s">
        <v>80</v>
      </c>
      <c r="C119" s="100"/>
      <c r="D119" s="81"/>
      <c r="E119" s="56">
        <f>[8]FYB26xFYMRF7!$D$12+[8]FYB26xFYMRF7!$D$34</f>
        <v>36445.369559722225</v>
      </c>
      <c r="F119" s="101"/>
      <c r="G119" s="102"/>
      <c r="H119" s="56">
        <f>[8]FYB26xFYMRF7!$G$12+[8]FYB26xFYMRF7!$G$34</f>
        <v>39799.933372505184</v>
      </c>
      <c r="I119" s="103">
        <f t="shared" si="26"/>
        <v>-1667.5773393410459</v>
      </c>
      <c r="J119" s="104">
        <f>E119-H119-I119</f>
        <v>-1686.9864734419129</v>
      </c>
      <c r="L119" s="99"/>
      <c r="R119" s="2"/>
    </row>
    <row r="120" spans="2:18" x14ac:dyDescent="0.3">
      <c r="B120" s="13" t="s">
        <v>81</v>
      </c>
      <c r="C120" s="100"/>
      <c r="D120" s="81"/>
      <c r="E120" s="56">
        <f>[8]FYB26xFYMRF7!$D$13</f>
        <v>4329.6571425925922</v>
      </c>
      <c r="F120" s="101"/>
      <c r="G120" s="102"/>
      <c r="H120" s="56">
        <f>[8]FYB26xFYMRF7!$G$13</f>
        <v>4366.7997161010962</v>
      </c>
      <c r="I120" s="103"/>
      <c r="J120" s="104">
        <f t="shared" si="27"/>
        <v>-37.142573508504029</v>
      </c>
      <c r="L120" s="99"/>
      <c r="R120" s="2"/>
    </row>
    <row r="121" spans="2:18" x14ac:dyDescent="0.3">
      <c r="B121" s="13" t="s">
        <v>82</v>
      </c>
      <c r="C121" s="100"/>
      <c r="D121" s="81"/>
      <c r="E121" s="56">
        <f>[8]FYB26xFYMRF7!$D$14</f>
        <v>0</v>
      </c>
      <c r="F121" s="101"/>
      <c r="G121" s="102"/>
      <c r="H121" s="56">
        <f>[8]FYB26xFYMRF7!$G$14</f>
        <v>0</v>
      </c>
      <c r="I121" s="103">
        <f t="shared" si="26"/>
        <v>0</v>
      </c>
      <c r="J121" s="104">
        <f t="shared" si="27"/>
        <v>0</v>
      </c>
      <c r="L121" s="99"/>
      <c r="R121" s="2"/>
    </row>
    <row r="122" spans="2:18" x14ac:dyDescent="0.3">
      <c r="B122" s="13" t="s">
        <v>83</v>
      </c>
      <c r="C122" s="100"/>
      <c r="D122" s="81"/>
      <c r="E122" s="56">
        <f>[8]FYB26xFYMRF7!$D$15</f>
        <v>3800.2258148148148</v>
      </c>
      <c r="F122" s="101"/>
      <c r="G122" s="102"/>
      <c r="H122" s="56">
        <f>[8]FYB26xFYMRF7!$G$15</f>
        <v>4339.9682851539674</v>
      </c>
      <c r="I122" s="103"/>
      <c r="J122" s="104">
        <f t="shared" si="27"/>
        <v>-539.74247033915253</v>
      </c>
      <c r="L122" s="99"/>
      <c r="R122" s="2"/>
    </row>
    <row r="123" spans="2:18" x14ac:dyDescent="0.3">
      <c r="B123" s="13" t="s">
        <v>84</v>
      </c>
      <c r="C123" s="100"/>
      <c r="D123" s="81"/>
      <c r="E123" s="56">
        <f>[8]FYB26xFYMRF7!$D$16</f>
        <v>133766.87453033309</v>
      </c>
      <c r="F123" s="101"/>
      <c r="G123" s="102"/>
      <c r="H123" s="56">
        <f>[8]FYB26xFYMRF7!$G$16</f>
        <v>137770.91554820424</v>
      </c>
      <c r="I123" s="103">
        <f t="shared" si="26"/>
        <v>-5772.4633515886026</v>
      </c>
      <c r="J123" s="104">
        <f t="shared" si="27"/>
        <v>1768.4223337174562</v>
      </c>
      <c r="L123" s="99"/>
      <c r="R123" s="2"/>
    </row>
    <row r="124" spans="2:18" x14ac:dyDescent="0.3">
      <c r="B124" s="13" t="s">
        <v>85</v>
      </c>
      <c r="C124" s="100"/>
      <c r="D124" s="81"/>
      <c r="E124" s="56">
        <f>[8]FYB26xFYMRF7!$D$17</f>
        <v>57260.893387037046</v>
      </c>
      <c r="F124" s="101"/>
      <c r="G124" s="102"/>
      <c r="H124" s="56">
        <f>[8]FYB26xFYMRF7!$G$17</f>
        <v>56306.50454336941</v>
      </c>
      <c r="I124" s="103"/>
      <c r="J124" s="104">
        <f t="shared" si="27"/>
        <v>954.38884366763523</v>
      </c>
      <c r="L124" s="99"/>
      <c r="R124" s="2"/>
    </row>
    <row r="125" spans="2:18" ht="14.4" thickBot="1" x14ac:dyDescent="0.35">
      <c r="B125" s="13" t="s">
        <v>4</v>
      </c>
      <c r="C125" s="79"/>
      <c r="D125" s="55"/>
      <c r="E125" s="105">
        <f>[8]FYB26xFYMRF7!$B$23</f>
        <v>5.4000000000000012</v>
      </c>
      <c r="F125" s="106"/>
      <c r="G125" s="107"/>
      <c r="H125" s="105">
        <f>[8]FYB26xFYMRF7!$B$24</f>
        <v>5.1737454093663775</v>
      </c>
      <c r="I125" s="108"/>
      <c r="J125" s="108"/>
      <c r="K125" s="24"/>
      <c r="L125" s="24"/>
      <c r="R125" s="2"/>
    </row>
    <row r="126" spans="2:18" ht="14.4" thickBot="1" x14ac:dyDescent="0.35">
      <c r="B126" s="87" t="s">
        <v>86</v>
      </c>
      <c r="C126" s="109"/>
      <c r="D126" s="89"/>
      <c r="E126" s="90">
        <f>SUM(E116:E124)</f>
        <v>689471.17605164787</v>
      </c>
      <c r="F126" s="88"/>
      <c r="G126" s="89"/>
      <c r="H126" s="90">
        <f>SUM(H116:H124)</f>
        <v>752548.8161308798</v>
      </c>
      <c r="I126" s="110">
        <f>SUM(I116:I124)</f>
        <v>-28787.081564062883</v>
      </c>
      <c r="J126" s="110">
        <f>SUM(J116:J124)</f>
        <v>-34290.558515169017</v>
      </c>
      <c r="L126" s="99"/>
      <c r="R126" s="2"/>
    </row>
    <row r="127" spans="2:18" x14ac:dyDescent="0.3">
      <c r="B127" s="76" t="s">
        <v>16</v>
      </c>
      <c r="C127" s="95"/>
      <c r="D127" s="6" t="s">
        <v>29</v>
      </c>
      <c r="E127" s="78"/>
      <c r="F127" s="97"/>
      <c r="G127" s="6" t="s">
        <v>29</v>
      </c>
      <c r="H127" s="78"/>
      <c r="I127" s="16" t="s">
        <v>87</v>
      </c>
      <c r="J127" s="16" t="s">
        <v>16</v>
      </c>
      <c r="L127" s="99"/>
      <c r="R127" s="2"/>
    </row>
    <row r="128" spans="2:18" x14ac:dyDescent="0.3">
      <c r="B128" s="13" t="s">
        <v>88</v>
      </c>
      <c r="C128" s="79"/>
      <c r="D128" s="84">
        <f>[9]FY_Budget!K11</f>
        <v>192.44907581258099</v>
      </c>
      <c r="E128" s="80"/>
      <c r="F128" s="79"/>
      <c r="G128" s="84">
        <f>[9]FY_Budget!O11</f>
        <v>209.830332011846</v>
      </c>
      <c r="H128" s="80"/>
      <c r="I128" s="111">
        <f>[9]FY_Budget!N11</f>
        <v>0.39731562421943001</v>
      </c>
      <c r="J128" s="104">
        <f>(D128-G128)*I128*$G$144</f>
        <v>-48135.709979590429</v>
      </c>
      <c r="K128" s="112"/>
      <c r="L128" s="99"/>
      <c r="R128" s="2"/>
    </row>
    <row r="129" spans="2:18" x14ac:dyDescent="0.3">
      <c r="B129" s="13" t="s">
        <v>89</v>
      </c>
      <c r="C129" s="79"/>
      <c r="D129" s="84">
        <f>[9]FY_Budget!K12</f>
        <v>193.47907998159599</v>
      </c>
      <c r="E129" s="80"/>
      <c r="F129" s="79"/>
      <c r="G129" s="84">
        <f>[9]FY_Budget!O12</f>
        <v>218.48672314443101</v>
      </c>
      <c r="H129" s="80"/>
      <c r="I129" s="111">
        <f>[9]FY_Budget!N12</f>
        <v>0.27102848197245</v>
      </c>
      <c r="J129" s="104">
        <f t="shared" ref="J129:J134" si="28">(D129-G129)*I129*$G$144</f>
        <v>-47243.087583652239</v>
      </c>
      <c r="K129" s="112"/>
      <c r="L129" s="99"/>
      <c r="R129" s="2"/>
    </row>
    <row r="130" spans="2:18" x14ac:dyDescent="0.3">
      <c r="B130" s="13" t="s">
        <v>90</v>
      </c>
      <c r="C130" s="79"/>
      <c r="D130" s="84">
        <f>[9]FY_Budget!K13</f>
        <v>0</v>
      </c>
      <c r="E130" s="80"/>
      <c r="F130" s="79"/>
      <c r="G130" s="84">
        <f>[9]FY_Budget!O13</f>
        <v>0</v>
      </c>
      <c r="H130" s="80"/>
      <c r="I130" s="111">
        <f>[9]FY_Budget!N13</f>
        <v>0</v>
      </c>
      <c r="J130" s="104">
        <f>(D130-G130)*I130*$G$144</f>
        <v>0</v>
      </c>
      <c r="K130" s="112"/>
      <c r="L130" s="99"/>
      <c r="R130" s="2"/>
    </row>
    <row r="131" spans="2:18" x14ac:dyDescent="0.3">
      <c r="B131" s="13" t="s">
        <v>91</v>
      </c>
      <c r="C131" s="79"/>
      <c r="D131" s="84">
        <f>[9]FY_Budget!K14</f>
        <v>312.92944510136499</v>
      </c>
      <c r="E131" s="80"/>
      <c r="F131" s="79"/>
      <c r="G131" s="84">
        <f>[9]FY_Budget!O14</f>
        <v>340.61822721504302</v>
      </c>
      <c r="H131" s="80"/>
      <c r="I131" s="111">
        <f>[9]FY_Budget!N14</f>
        <v>1.407606697906E-2</v>
      </c>
      <c r="J131" s="104">
        <f>(D131-G131)*I131*$G$144</f>
        <v>-2716.6629223997379</v>
      </c>
      <c r="K131" s="112"/>
      <c r="L131" s="99"/>
      <c r="R131" s="2"/>
    </row>
    <row r="132" spans="2:18" x14ac:dyDescent="0.3">
      <c r="B132" s="13" t="s">
        <v>92</v>
      </c>
      <c r="C132" s="79"/>
      <c r="D132" s="84">
        <f>[9]FY_Budget!K16</f>
        <v>72.724805563142596</v>
      </c>
      <c r="E132" s="80"/>
      <c r="F132" s="79"/>
      <c r="G132" s="84">
        <f>[9]FY_Budget!O16</f>
        <v>75.803893593564496</v>
      </c>
      <c r="H132" s="80"/>
      <c r="I132" s="111">
        <f>[9]FY_Budget!N16</f>
        <v>0.50546147907213002</v>
      </c>
      <c r="J132" s="104">
        <f t="shared" si="28"/>
        <v>-10848.276508559929</v>
      </c>
      <c r="K132" s="112"/>
      <c r="L132" s="99"/>
      <c r="R132" s="2"/>
    </row>
    <row r="133" spans="2:18" x14ac:dyDescent="0.3">
      <c r="B133" s="13" t="s">
        <v>93</v>
      </c>
      <c r="C133" s="79"/>
      <c r="D133" s="84">
        <f>[9]FY_Budget!K17</f>
        <v>121.438930180537</v>
      </c>
      <c r="E133" s="80"/>
      <c r="F133" s="79"/>
      <c r="G133" s="84">
        <f>[9]FY_Budget!O17</f>
        <v>128.95792596468499</v>
      </c>
      <c r="H133" s="80"/>
      <c r="I133" s="111">
        <f>[9]FY_Budget!N17</f>
        <v>0.78699859872350997</v>
      </c>
      <c r="J133" s="104">
        <f t="shared" si="28"/>
        <v>-41246.241222815581</v>
      </c>
      <c r="K133" s="112"/>
      <c r="L133" s="99"/>
      <c r="R133" s="2"/>
    </row>
    <row r="134" spans="2:18" x14ac:dyDescent="0.3">
      <c r="B134" s="13" t="s">
        <v>94</v>
      </c>
      <c r="C134" s="79"/>
      <c r="D134" s="84">
        <f>[9]FY_Budget!K18</f>
        <v>82.183924470554302</v>
      </c>
      <c r="E134" s="80"/>
      <c r="F134" s="79"/>
      <c r="G134" s="84">
        <f>[9]FY_Budget!O18</f>
        <v>83.470247491985404</v>
      </c>
      <c r="H134" s="80"/>
      <c r="I134" s="111">
        <f>[9]FY_Budget!N18</f>
        <v>0.2207053984765</v>
      </c>
      <c r="J134" s="104">
        <f t="shared" si="28"/>
        <v>-1978.8531904776401</v>
      </c>
      <c r="K134" s="112"/>
      <c r="L134" s="99"/>
      <c r="R134" s="2"/>
    </row>
    <row r="135" spans="2:18" x14ac:dyDescent="0.3">
      <c r="B135" s="13" t="s">
        <v>95</v>
      </c>
      <c r="C135" s="79"/>
      <c r="D135" s="84"/>
      <c r="E135" s="80"/>
      <c r="F135" s="79"/>
      <c r="G135" s="84"/>
      <c r="H135" s="80"/>
      <c r="I135" s="111"/>
      <c r="J135" s="113">
        <f>'[10]Bridges IP'!$U$6*1000</f>
        <v>-12014.339143844159</v>
      </c>
      <c r="K135" s="112"/>
      <c r="L135" s="99"/>
      <c r="R135" s="2"/>
    </row>
    <row r="136" spans="2:18" x14ac:dyDescent="0.3">
      <c r="B136" s="13" t="s">
        <v>96</v>
      </c>
      <c r="C136" s="79"/>
      <c r="D136" s="84"/>
      <c r="E136" s="80"/>
      <c r="F136" s="79"/>
      <c r="G136" s="84"/>
      <c r="H136" s="80"/>
      <c r="I136" s="111"/>
      <c r="J136" s="113">
        <f>'[10]Bridges IP'!$U$7*1000</f>
        <v>-11030</v>
      </c>
      <c r="K136" s="112"/>
      <c r="L136" s="99"/>
      <c r="R136" s="2"/>
    </row>
    <row r="137" spans="2:18" x14ac:dyDescent="0.3">
      <c r="B137" s="13" t="s">
        <v>97</v>
      </c>
      <c r="C137" s="79"/>
      <c r="D137" s="84">
        <f>'[11]FCF &amp; OWCR - BUDGET'!$Z$332*1000</f>
        <v>19003.747815568138</v>
      </c>
      <c r="E137" s="80"/>
      <c r="F137" s="79"/>
      <c r="G137" s="84">
        <f>'[12]FCF &amp; OWCR - BUDGET'!$Z$332*1000</f>
        <v>25568.069540774439</v>
      </c>
      <c r="H137" s="80"/>
      <c r="I137" s="111"/>
      <c r="J137" s="104">
        <f>G137-D137</f>
        <v>6564.3217252063005</v>
      </c>
      <c r="K137" s="112"/>
      <c r="L137" s="99"/>
      <c r="R137" s="2"/>
    </row>
    <row r="138" spans="2:18" x14ac:dyDescent="0.3">
      <c r="B138" s="13" t="s">
        <v>98</v>
      </c>
      <c r="C138" s="79"/>
      <c r="D138" s="84"/>
      <c r="E138" s="80"/>
      <c r="F138" s="79"/>
      <c r="G138" s="84"/>
      <c r="H138" s="80"/>
      <c r="I138" s="111"/>
      <c r="J138" s="113">
        <f>'[10]Bridges IP'!$U$9*1000</f>
        <v>206.90204446817884</v>
      </c>
      <c r="L138" s="99"/>
      <c r="R138" s="2"/>
    </row>
    <row r="139" spans="2:18" x14ac:dyDescent="0.3">
      <c r="B139" s="13" t="s">
        <v>99</v>
      </c>
      <c r="C139" s="79"/>
      <c r="D139" s="84"/>
      <c r="E139" s="80"/>
      <c r="F139" s="79"/>
      <c r="G139" s="84"/>
      <c r="H139" s="80"/>
      <c r="I139" s="111"/>
      <c r="J139" s="113">
        <f>'[10]Bridges IP'!$U$8*1000</f>
        <v>-7030</v>
      </c>
      <c r="L139" s="99"/>
      <c r="R139" s="2"/>
    </row>
    <row r="140" spans="2:18" x14ac:dyDescent="0.3">
      <c r="B140" s="13" t="s">
        <v>100</v>
      </c>
      <c r="C140" s="79"/>
      <c r="D140" s="84"/>
      <c r="E140" s="80"/>
      <c r="F140" s="79"/>
      <c r="G140" s="84"/>
      <c r="H140" s="80"/>
      <c r="I140" s="111"/>
      <c r="J140" s="113">
        <f>'[10]Bridges IP'!$U$10*1000</f>
        <v>-2000</v>
      </c>
      <c r="L140" s="99"/>
      <c r="R140" s="2"/>
    </row>
    <row r="141" spans="2:18" x14ac:dyDescent="0.3">
      <c r="B141" s="13" t="s">
        <v>101</v>
      </c>
      <c r="C141" s="79"/>
      <c r="D141" s="55"/>
      <c r="E141" s="80"/>
      <c r="F141" s="79"/>
      <c r="G141" s="55"/>
      <c r="H141" s="80"/>
      <c r="I141" s="114"/>
      <c r="J141" s="103"/>
      <c r="L141" s="99"/>
      <c r="R141" s="2"/>
    </row>
    <row r="142" spans="2:18" x14ac:dyDescent="0.3">
      <c r="B142" s="13" t="s">
        <v>102</v>
      </c>
      <c r="C142" s="79"/>
      <c r="D142" s="55"/>
      <c r="E142" s="80"/>
      <c r="F142" s="79"/>
      <c r="G142" s="55"/>
      <c r="H142" s="80"/>
      <c r="I142" s="114"/>
      <c r="J142" s="115"/>
      <c r="L142" s="99"/>
      <c r="R142" s="2"/>
    </row>
    <row r="143" spans="2:18" x14ac:dyDescent="0.3">
      <c r="B143" s="13" t="s">
        <v>103</v>
      </c>
      <c r="C143" s="79"/>
      <c r="D143" s="55"/>
      <c r="E143" s="80"/>
      <c r="F143" s="79"/>
      <c r="G143" s="55"/>
      <c r="H143" s="80"/>
      <c r="I143" s="114"/>
      <c r="J143" s="115"/>
      <c r="L143" s="99"/>
      <c r="R143" s="2"/>
    </row>
    <row r="144" spans="2:18" ht="14.4" thickBot="1" x14ac:dyDescent="0.35">
      <c r="B144" s="13" t="s">
        <v>104</v>
      </c>
      <c r="C144" s="79"/>
      <c r="D144" s="55"/>
      <c r="E144" s="80"/>
      <c r="F144" s="79"/>
      <c r="G144" s="84">
        <f>[9]FY_Budget!$M$38/1000</f>
        <v>6970.2856600000005</v>
      </c>
      <c r="H144" s="80"/>
      <c r="I144" s="116"/>
      <c r="J144" s="117"/>
      <c r="L144" s="99"/>
      <c r="R144" s="2"/>
    </row>
    <row r="145" spans="2:18" ht="14.4" thickBot="1" x14ac:dyDescent="0.35">
      <c r="B145" s="87" t="s">
        <v>105</v>
      </c>
      <c r="C145" s="109"/>
      <c r="D145" s="89"/>
      <c r="E145" s="90"/>
      <c r="F145" s="88"/>
      <c r="G145" s="89"/>
      <c r="H145" s="90"/>
      <c r="I145" s="118"/>
      <c r="J145" s="75">
        <f>SUM(J128:J144)</f>
        <v>-177471.94678166523</v>
      </c>
      <c r="L145" s="1"/>
      <c r="R145" s="2"/>
    </row>
    <row r="146" spans="2:18" x14ac:dyDescent="0.3">
      <c r="B146" s="76" t="s">
        <v>17</v>
      </c>
      <c r="C146" s="95"/>
      <c r="D146" s="6"/>
      <c r="E146" s="78"/>
      <c r="F146" s="97"/>
      <c r="G146" s="6"/>
      <c r="H146" s="78"/>
      <c r="I146" s="16"/>
      <c r="J146" s="119" t="s">
        <v>17</v>
      </c>
      <c r="L146" s="1"/>
      <c r="R146" s="2"/>
    </row>
    <row r="147" spans="2:18" ht="14.4" thickBot="1" x14ac:dyDescent="0.35">
      <c r="B147" s="120"/>
      <c r="C147" s="121"/>
      <c r="D147" s="122"/>
      <c r="E147" s="123"/>
      <c r="F147" s="124"/>
      <c r="G147" s="125"/>
      <c r="H147" s="123"/>
      <c r="J147" s="126">
        <f>'[10]Bridges complementares'!$F$17*1000</f>
        <v>-12829.343372386798</v>
      </c>
      <c r="L147" s="1"/>
      <c r="R147" s="2"/>
    </row>
    <row r="148" spans="2:18" ht="14.4" thickBot="1" x14ac:dyDescent="0.35">
      <c r="B148" s="87" t="s">
        <v>106</v>
      </c>
      <c r="C148" s="109"/>
      <c r="D148" s="89"/>
      <c r="E148" s="90"/>
      <c r="F148" s="88"/>
      <c r="G148" s="89"/>
      <c r="H148" s="90"/>
      <c r="I148" s="118"/>
      <c r="J148" s="75">
        <f>SUM(J147)</f>
        <v>-12829.343372386798</v>
      </c>
      <c r="L148" s="1"/>
      <c r="R148" s="2"/>
    </row>
    <row r="149" spans="2:18" x14ac:dyDescent="0.3">
      <c r="B149" s="76" t="s">
        <v>4</v>
      </c>
      <c r="C149" s="95"/>
      <c r="D149" s="6"/>
      <c r="E149" s="78"/>
      <c r="F149" s="97"/>
      <c r="G149" s="6" t="s">
        <v>107</v>
      </c>
      <c r="H149" s="78" t="s">
        <v>108</v>
      </c>
      <c r="I149" s="16" t="s">
        <v>109</v>
      </c>
      <c r="J149" s="16" t="s">
        <v>4</v>
      </c>
      <c r="L149" s="1"/>
      <c r="R149" s="2"/>
    </row>
    <row r="150" spans="2:18" x14ac:dyDescent="0.3">
      <c r="B150" s="13" t="s">
        <v>110</v>
      </c>
      <c r="C150" s="79"/>
      <c r="D150" s="55"/>
      <c r="E150" s="80"/>
      <c r="F150" s="79"/>
      <c r="G150" s="55">
        <f>H48</f>
        <v>5141089.1266800705</v>
      </c>
      <c r="H150" s="80">
        <f>SUM(H23:H27,H30:H32,H35:H37,H39:H43,H47,H46,H45,H28,H33,H20,H21)</f>
        <v>3460298.9284182563</v>
      </c>
      <c r="I150" s="127">
        <f>H150/G150</f>
        <v>0.67306729044255886</v>
      </c>
      <c r="J150" s="128">
        <f>H150-(H150*H152/E152)</f>
        <v>143400.91422387538</v>
      </c>
      <c r="L150" s="1"/>
      <c r="R150" s="2"/>
    </row>
    <row r="151" spans="2:18" x14ac:dyDescent="0.3">
      <c r="B151" s="13" t="s">
        <v>111</v>
      </c>
      <c r="C151" s="79"/>
      <c r="D151" s="55"/>
      <c r="E151" s="80"/>
      <c r="F151" s="79"/>
      <c r="G151" s="55">
        <f>C13*1000-G150</f>
        <v>-4393396.7258032924</v>
      </c>
      <c r="H151" s="80">
        <f>G151*I151</f>
        <v>-1757358.6903213169</v>
      </c>
      <c r="I151" s="129">
        <v>0.4</v>
      </c>
      <c r="J151" s="128">
        <f>H151-(H151*H152/E152)</f>
        <v>-72828.055617306381</v>
      </c>
      <c r="L151" s="1"/>
      <c r="R151" s="2"/>
    </row>
    <row r="152" spans="2:18" ht="14.4" thickBot="1" x14ac:dyDescent="0.35">
      <c r="B152" s="130" t="s">
        <v>4</v>
      </c>
      <c r="C152" s="131"/>
      <c r="D152" s="60"/>
      <c r="E152" s="132">
        <f>[1]DRE!$O$1</f>
        <v>5.4</v>
      </c>
      <c r="F152" s="131"/>
      <c r="G152" s="60"/>
      <c r="H152" s="132">
        <f>[2]DRE!$O$1</f>
        <v>5.176214439033191</v>
      </c>
      <c r="I152" s="133"/>
      <c r="J152" s="128"/>
      <c r="L152" s="1"/>
      <c r="R152" s="2"/>
    </row>
    <row r="153" spans="2:18" s="8" customFormat="1" ht="14.4" thickBot="1" x14ac:dyDescent="0.35">
      <c r="B153" s="87" t="s">
        <v>112</v>
      </c>
      <c r="C153" s="134"/>
      <c r="D153" s="135"/>
      <c r="E153" s="136"/>
      <c r="F153" s="137"/>
      <c r="G153" s="138"/>
      <c r="H153" s="136"/>
      <c r="I153" s="136"/>
      <c r="J153" s="136">
        <f>SUM(J150:J151)</f>
        <v>70572.858606569003</v>
      </c>
      <c r="K153" s="1"/>
      <c r="L153" s="1"/>
      <c r="M153" s="2"/>
      <c r="N153" s="2"/>
      <c r="O153" s="2"/>
      <c r="P153" s="2"/>
      <c r="Q153" s="2"/>
      <c r="R153" s="2"/>
    </row>
    <row r="154" spans="2:18" x14ac:dyDescent="0.3">
      <c r="B154" s="76" t="s">
        <v>19</v>
      </c>
      <c r="C154" s="95"/>
      <c r="D154" s="6"/>
      <c r="E154" s="78" t="s">
        <v>30</v>
      </c>
      <c r="F154" s="97"/>
      <c r="G154" s="6"/>
      <c r="H154" s="78" t="s">
        <v>30</v>
      </c>
      <c r="I154" s="16" t="s">
        <v>19</v>
      </c>
      <c r="J154" s="16" t="s">
        <v>113</v>
      </c>
      <c r="L154" s="1"/>
      <c r="R154" s="2"/>
    </row>
    <row r="155" spans="2:18" x14ac:dyDescent="0.3">
      <c r="B155" s="13" t="s">
        <v>114</v>
      </c>
      <c r="C155" s="100"/>
      <c r="D155" s="81"/>
      <c r="E155" s="81"/>
      <c r="F155" s="100"/>
      <c r="G155" s="81"/>
      <c r="H155" s="81"/>
      <c r="I155" s="139">
        <f>[13]SAIDA!$I$14*1000</f>
        <v>-5764.0203629386233</v>
      </c>
      <c r="J155" s="140" t="s">
        <v>19</v>
      </c>
      <c r="L155" s="1"/>
      <c r="R155" s="2"/>
    </row>
    <row r="156" spans="2:18" x14ac:dyDescent="0.3">
      <c r="B156" s="13" t="str">
        <f>'[14]Unusual USD'!B6</f>
        <v>Non Steel</v>
      </c>
      <c r="C156" s="100"/>
      <c r="D156" s="81"/>
      <c r="E156" s="56">
        <v>12000</v>
      </c>
      <c r="F156" s="100"/>
      <c r="G156" s="81"/>
      <c r="H156" s="56">
        <f>SUM('[15]2026'!$C$7:$H$7,'[15]2026'!$C$20:$GH$20)*1000+1400*6</f>
        <v>18490.466971302809</v>
      </c>
      <c r="I156" s="104">
        <f>H156-E156</f>
        <v>6490.4669713028088</v>
      </c>
      <c r="J156" s="140" t="s">
        <v>21</v>
      </c>
      <c r="L156" s="1"/>
      <c r="R156" s="2"/>
    </row>
    <row r="157" spans="2:18" x14ac:dyDescent="0.3">
      <c r="B157" s="13" t="str">
        <f>'[14]Unusual USD'!B7</f>
        <v>Reintegra</v>
      </c>
      <c r="C157" s="100"/>
      <c r="D157" s="81"/>
      <c r="E157" s="56"/>
      <c r="F157" s="100"/>
      <c r="G157" s="81"/>
      <c r="H157" s="56"/>
      <c r="I157" s="104">
        <f>H157-E157</f>
        <v>0</v>
      </c>
      <c r="J157" s="140" t="s">
        <v>21</v>
      </c>
      <c r="L157" s="1"/>
      <c r="R157" s="2"/>
    </row>
    <row r="158" spans="2:18" x14ac:dyDescent="0.3">
      <c r="B158" s="13" t="str">
        <f>'[14]Unusual USD'!B8</f>
        <v>Sucatamento</v>
      </c>
      <c r="C158" s="100"/>
      <c r="D158" s="81"/>
      <c r="E158" s="56"/>
      <c r="F158" s="100"/>
      <c r="G158" s="81"/>
      <c r="H158" s="56"/>
      <c r="I158" s="104"/>
      <c r="J158" s="140" t="s">
        <v>21</v>
      </c>
      <c r="L158" s="1"/>
      <c r="R158" s="2"/>
    </row>
    <row r="159" spans="2:18" x14ac:dyDescent="0.3">
      <c r="B159" s="13" t="s">
        <v>116</v>
      </c>
      <c r="C159" s="100"/>
      <c r="D159" s="81"/>
      <c r="E159" s="56"/>
      <c r="F159" s="100"/>
      <c r="G159" s="81"/>
      <c r="H159" s="56"/>
      <c r="I159" s="104">
        <f>H159-E159</f>
        <v>0</v>
      </c>
      <c r="J159" s="140" t="s">
        <v>21</v>
      </c>
      <c r="L159" s="1"/>
      <c r="R159" s="2"/>
    </row>
    <row r="160" spans="2:18" x14ac:dyDescent="0.3">
      <c r="B160" s="13" t="str">
        <f>'[14]Unusual USD'!B10</f>
        <v>Legal contingency</v>
      </c>
      <c r="C160" s="100"/>
      <c r="D160" s="81"/>
      <c r="E160" s="56"/>
      <c r="F160" s="100"/>
      <c r="G160" s="81"/>
      <c r="H160" s="56">
        <f>SUM('[15]2026'!$C$15:$H$15)*1000</f>
        <v>149.79323466958516</v>
      </c>
      <c r="I160" s="104">
        <f>H160-E160</f>
        <v>149.79323466958516</v>
      </c>
      <c r="J160" s="140" t="s">
        <v>21</v>
      </c>
      <c r="L160" s="1"/>
      <c r="R160" s="2"/>
    </row>
    <row r="161" spans="2:18" x14ac:dyDescent="0.3">
      <c r="B161" s="13" t="str">
        <f>'[14]Unusual USD'!B11</f>
        <v>Changes on tax (Lei Cabral)</v>
      </c>
      <c r="C161" s="100"/>
      <c r="D161" s="81"/>
      <c r="E161" s="56"/>
      <c r="F161" s="100"/>
      <c r="G161" s="81"/>
      <c r="H161" s="56"/>
      <c r="I161" s="104"/>
      <c r="J161" s="140" t="s">
        <v>21</v>
      </c>
      <c r="L161" s="1"/>
      <c r="R161" s="2"/>
    </row>
    <row r="162" spans="2:18" x14ac:dyDescent="0.3">
      <c r="B162" s="13" t="str">
        <f>'[14]Unusual USD'!B14</f>
        <v>Cost contingency</v>
      </c>
      <c r="C162" s="100"/>
      <c r="D162" s="81"/>
      <c r="E162" s="56"/>
      <c r="F162" s="100"/>
      <c r="G162" s="81"/>
      <c r="H162" s="56"/>
      <c r="I162" s="104">
        <f>H162-E162</f>
        <v>0</v>
      </c>
      <c r="J162" s="140" t="s">
        <v>21</v>
      </c>
      <c r="L162" s="1"/>
      <c r="R162" s="2"/>
    </row>
    <row r="163" spans="2:18" x14ac:dyDescent="0.3">
      <c r="B163" s="13" t="s">
        <v>117</v>
      </c>
      <c r="C163" s="100"/>
      <c r="D163" s="81"/>
      <c r="E163" s="56"/>
      <c r="F163" s="100"/>
      <c r="G163" s="81"/>
      <c r="H163" s="56"/>
      <c r="I163" s="104"/>
      <c r="J163" s="140" t="s">
        <v>21</v>
      </c>
      <c r="L163" s="1"/>
      <c r="M163" s="99"/>
    </row>
    <row r="164" spans="2:18" x14ac:dyDescent="0.3">
      <c r="B164" s="13" t="s">
        <v>118</v>
      </c>
      <c r="C164" s="100"/>
      <c r="D164" s="81"/>
      <c r="E164" s="56"/>
      <c r="F164" s="100"/>
      <c r="G164" s="81"/>
      <c r="H164" s="56"/>
      <c r="I164" s="104"/>
      <c r="J164" s="140" t="s">
        <v>21</v>
      </c>
      <c r="L164" s="1"/>
      <c r="M164" s="99"/>
    </row>
    <row r="165" spans="2:18" x14ac:dyDescent="0.3">
      <c r="B165" s="13" t="s">
        <v>119</v>
      </c>
      <c r="C165" s="100"/>
      <c r="D165" s="81"/>
      <c r="E165" s="56"/>
      <c r="F165" s="100"/>
      <c r="G165" s="81"/>
      <c r="H165" s="56"/>
      <c r="I165" s="104">
        <f>H165-E165</f>
        <v>0</v>
      </c>
      <c r="J165" s="140" t="s">
        <v>21</v>
      </c>
      <c r="L165" s="1"/>
      <c r="M165" s="99"/>
    </row>
    <row r="166" spans="2:18" x14ac:dyDescent="0.3">
      <c r="B166" s="13" t="s">
        <v>120</v>
      </c>
      <c r="C166" s="100"/>
      <c r="D166" s="81"/>
      <c r="E166" s="56">
        <v>0</v>
      </c>
      <c r="F166" s="100"/>
      <c r="G166" s="81"/>
      <c r="H166" s="56"/>
      <c r="I166" s="104">
        <f t="shared" ref="I166:I180" si="29">H166-E166</f>
        <v>0</v>
      </c>
      <c r="J166" s="140" t="s">
        <v>21</v>
      </c>
      <c r="L166" s="1"/>
      <c r="M166" s="99"/>
    </row>
    <row r="167" spans="2:18" x14ac:dyDescent="0.3">
      <c r="B167" s="13" t="s">
        <v>121</v>
      </c>
      <c r="C167" s="100"/>
      <c r="D167" s="81"/>
      <c r="E167" s="56"/>
      <c r="F167" s="100"/>
      <c r="G167" s="81"/>
      <c r="H167" s="56"/>
      <c r="I167" s="104">
        <f t="shared" si="29"/>
        <v>0</v>
      </c>
      <c r="J167" s="140" t="s">
        <v>21</v>
      </c>
      <c r="L167" s="1"/>
      <c r="M167" s="99"/>
    </row>
    <row r="168" spans="2:18" x14ac:dyDescent="0.3">
      <c r="B168" s="13" t="s">
        <v>122</v>
      </c>
      <c r="C168" s="100"/>
      <c r="D168" s="81"/>
      <c r="E168" s="56"/>
      <c r="F168" s="100"/>
      <c r="G168" s="81"/>
      <c r="H168" s="56">
        <f>SUM('[15]2026'!$C$24:$H$24)*1000-482</f>
        <v>-2604.1187101406722</v>
      </c>
      <c r="I168" s="104">
        <f t="shared" si="29"/>
        <v>-2604.1187101406722</v>
      </c>
      <c r="J168" s="140" t="s">
        <v>21</v>
      </c>
      <c r="L168" s="1"/>
      <c r="M168" s="99"/>
    </row>
    <row r="169" spans="2:18" x14ac:dyDescent="0.3">
      <c r="B169" s="13" t="s">
        <v>123</v>
      </c>
      <c r="C169" s="100"/>
      <c r="D169" s="81"/>
      <c r="E169" s="56"/>
      <c r="F169" s="100"/>
      <c r="G169" s="81"/>
      <c r="H169" s="56"/>
      <c r="I169" s="104">
        <f t="shared" si="29"/>
        <v>0</v>
      </c>
      <c r="J169" s="140" t="s">
        <v>21</v>
      </c>
      <c r="L169" s="1"/>
      <c r="M169" s="99"/>
    </row>
    <row r="170" spans="2:18" x14ac:dyDescent="0.3">
      <c r="B170" s="13" t="s">
        <v>124</v>
      </c>
      <c r="C170" s="100"/>
      <c r="D170" s="81"/>
      <c r="E170" s="56"/>
      <c r="F170" s="100"/>
      <c r="G170" s="81"/>
      <c r="H170" s="56"/>
      <c r="I170" s="104">
        <f t="shared" si="29"/>
        <v>0</v>
      </c>
      <c r="J170" s="140" t="s">
        <v>21</v>
      </c>
      <c r="L170" s="1"/>
      <c r="M170" s="99"/>
    </row>
    <row r="171" spans="2:18" x14ac:dyDescent="0.3">
      <c r="B171" s="13" t="s">
        <v>125</v>
      </c>
      <c r="C171" s="100"/>
      <c r="D171" s="81"/>
      <c r="E171" s="56"/>
      <c r="F171" s="100"/>
      <c r="G171" s="81"/>
      <c r="H171" s="56"/>
      <c r="I171" s="104">
        <f t="shared" si="29"/>
        <v>0</v>
      </c>
      <c r="J171" s="140" t="s">
        <v>21</v>
      </c>
      <c r="L171" s="1"/>
      <c r="M171" s="99"/>
    </row>
    <row r="172" spans="2:18" x14ac:dyDescent="0.3">
      <c r="B172" s="13" t="s">
        <v>126</v>
      </c>
      <c r="C172" s="100"/>
      <c r="D172" s="81"/>
      <c r="E172" s="56"/>
      <c r="F172" s="100"/>
      <c r="G172" s="81"/>
      <c r="H172" s="56"/>
      <c r="I172" s="104">
        <f t="shared" si="29"/>
        <v>0</v>
      </c>
      <c r="J172" s="140" t="s">
        <v>21</v>
      </c>
      <c r="L172" s="1"/>
      <c r="M172" s="99"/>
    </row>
    <row r="173" spans="2:18" x14ac:dyDescent="0.3">
      <c r="B173" s="13" t="s">
        <v>127</v>
      </c>
      <c r="C173" s="100"/>
      <c r="D173" s="81"/>
      <c r="E173" s="56"/>
      <c r="F173" s="100"/>
      <c r="G173" s="81"/>
      <c r="H173" s="56"/>
      <c r="I173" s="104">
        <f t="shared" si="29"/>
        <v>0</v>
      </c>
      <c r="J173" s="140" t="s">
        <v>21</v>
      </c>
      <c r="L173" s="1"/>
      <c r="M173" s="99"/>
    </row>
    <row r="174" spans="2:18" x14ac:dyDescent="0.3">
      <c r="B174" s="13" t="s">
        <v>128</v>
      </c>
      <c r="C174" s="100"/>
      <c r="D174" s="81"/>
      <c r="E174" s="56"/>
      <c r="F174" s="100"/>
      <c r="G174" s="81"/>
      <c r="H174" s="142"/>
      <c r="I174" s="104">
        <f t="shared" si="29"/>
        <v>0</v>
      </c>
      <c r="J174" s="140" t="s">
        <v>21</v>
      </c>
      <c r="L174" s="1"/>
      <c r="M174" s="99"/>
    </row>
    <row r="175" spans="2:18" x14ac:dyDescent="0.3">
      <c r="B175" s="13" t="s">
        <v>129</v>
      </c>
      <c r="C175" s="100"/>
      <c r="D175" s="81"/>
      <c r="E175" s="56">
        <f>'[16]Invest-ES'!P4/1000</f>
        <v>134784.708518517</v>
      </c>
      <c r="F175" s="100"/>
      <c r="G175" s="81"/>
      <c r="H175" s="56">
        <f>'[16]Invest-ES'!P11/1000</f>
        <v>129888.14456308608</v>
      </c>
      <c r="I175" s="104">
        <f t="shared" si="29"/>
        <v>-4896.5639554309164</v>
      </c>
      <c r="J175" s="140" t="s">
        <v>21</v>
      </c>
      <c r="L175" s="1"/>
      <c r="M175" s="99"/>
    </row>
    <row r="176" spans="2:18" x14ac:dyDescent="0.3">
      <c r="B176" s="13" t="s">
        <v>130</v>
      </c>
      <c r="C176" s="100"/>
      <c r="D176" s="81"/>
      <c r="E176" s="56"/>
      <c r="F176" s="100"/>
      <c r="G176" s="81"/>
      <c r="H176" s="56"/>
      <c r="I176" s="104">
        <f t="shared" si="29"/>
        <v>0</v>
      </c>
      <c r="J176" s="140" t="s">
        <v>21</v>
      </c>
      <c r="L176" s="1"/>
      <c r="M176" s="99"/>
    </row>
    <row r="177" spans="2:13" x14ac:dyDescent="0.3">
      <c r="B177" s="13" t="s">
        <v>131</v>
      </c>
      <c r="C177" s="100"/>
      <c r="D177" s="81"/>
      <c r="E177" s="56"/>
      <c r="F177" s="100"/>
      <c r="G177" s="81"/>
      <c r="H177" s="56">
        <v>-3000</v>
      </c>
      <c r="I177" s="104">
        <f t="shared" si="29"/>
        <v>-3000</v>
      </c>
      <c r="J177" s="140" t="s">
        <v>21</v>
      </c>
      <c r="L177" s="1"/>
      <c r="M177" s="99"/>
    </row>
    <row r="178" spans="2:13" x14ac:dyDescent="0.3">
      <c r="B178" s="13" t="s">
        <v>132</v>
      </c>
      <c r="C178" s="100"/>
      <c r="D178" s="81"/>
      <c r="E178" s="56"/>
      <c r="F178" s="100"/>
      <c r="G178" s="81"/>
      <c r="H178" s="56"/>
      <c r="I178" s="104">
        <f t="shared" si="29"/>
        <v>0</v>
      </c>
      <c r="J178" s="140" t="s">
        <v>21</v>
      </c>
      <c r="L178" s="1"/>
      <c r="M178" s="99"/>
    </row>
    <row r="179" spans="2:13" x14ac:dyDescent="0.3">
      <c r="B179" s="13" t="s">
        <v>133</v>
      </c>
      <c r="C179" s="100"/>
      <c r="D179" s="81"/>
      <c r="E179" s="56"/>
      <c r="F179" s="100"/>
      <c r="G179" s="81"/>
      <c r="H179" s="56"/>
      <c r="I179" s="104">
        <f t="shared" si="29"/>
        <v>0</v>
      </c>
      <c r="J179" s="140" t="s">
        <v>21</v>
      </c>
      <c r="L179" s="1"/>
      <c r="M179" s="99"/>
    </row>
    <row r="180" spans="2:13" x14ac:dyDescent="0.3">
      <c r="B180" s="13" t="s">
        <v>134</v>
      </c>
      <c r="C180" s="100"/>
      <c r="D180" s="81"/>
      <c r="E180" s="56"/>
      <c r="F180" s="100"/>
      <c r="G180" s="81"/>
      <c r="H180" s="56"/>
      <c r="I180" s="104">
        <f t="shared" si="29"/>
        <v>0</v>
      </c>
      <c r="J180" s="140" t="s">
        <v>21</v>
      </c>
      <c r="L180" s="1"/>
      <c r="M180" s="99"/>
    </row>
    <row r="181" spans="2:13" ht="14.4" thickBot="1" x14ac:dyDescent="0.35">
      <c r="B181" s="13"/>
      <c r="C181" s="79"/>
      <c r="D181" s="55"/>
      <c r="E181" s="80"/>
      <c r="F181" s="79"/>
      <c r="G181" s="55"/>
      <c r="H181" s="56"/>
      <c r="I181" s="104"/>
      <c r="J181" s="140"/>
      <c r="L181" s="1"/>
      <c r="M181" s="99"/>
    </row>
    <row r="182" spans="2:13" ht="14.4" thickBot="1" x14ac:dyDescent="0.35">
      <c r="B182" s="87" t="s">
        <v>135</v>
      </c>
      <c r="C182" s="134"/>
      <c r="D182" s="135"/>
      <c r="E182" s="136">
        <f>SUM(E156:E181)</f>
        <v>146784.708518517</v>
      </c>
      <c r="F182" s="137"/>
      <c r="G182" s="138"/>
      <c r="H182" s="136">
        <f>SUM(H156:H181)</f>
        <v>142924.28605891782</v>
      </c>
      <c r="I182" s="136">
        <f>SUM(I156:I181)</f>
        <v>-3860.4224595991946</v>
      </c>
      <c r="J182" s="136"/>
      <c r="L182" s="1"/>
      <c r="M182" s="99"/>
    </row>
    <row r="183" spans="2:13" x14ac:dyDescent="0.3">
      <c r="E183" s="65"/>
      <c r="F183" s="7"/>
      <c r="G183" s="7"/>
      <c r="H183" s="65"/>
      <c r="L183" s="1"/>
      <c r="M183" s="99"/>
    </row>
    <row r="184" spans="2:13" x14ac:dyDescent="0.3">
      <c r="E184" s="7"/>
      <c r="F184" s="7"/>
      <c r="G184" s="7"/>
      <c r="H184" s="7"/>
      <c r="L184" s="1"/>
      <c r="M184" s="99"/>
    </row>
    <row r="185" spans="2:13" x14ac:dyDescent="0.3">
      <c r="E185" s="7"/>
      <c r="F185" s="7"/>
      <c r="G185" s="7"/>
      <c r="H185" s="7"/>
      <c r="L185" s="1"/>
      <c r="M185" s="99"/>
    </row>
    <row r="186" spans="2:13" x14ac:dyDescent="0.3">
      <c r="E186" s="7"/>
      <c r="F186" s="7"/>
      <c r="G186" s="7"/>
      <c r="H186" s="7"/>
      <c r="L186" s="99"/>
      <c r="M186" s="99"/>
    </row>
    <row r="187" spans="2:13" x14ac:dyDescent="0.3">
      <c r="L187" s="99"/>
      <c r="M187" s="99"/>
    </row>
    <row r="188" spans="2:13" x14ac:dyDescent="0.3">
      <c r="L188" s="99"/>
      <c r="M188" s="99"/>
    </row>
    <row r="189" spans="2:13" x14ac:dyDescent="0.3">
      <c r="L189" s="99"/>
      <c r="M189" s="99"/>
    </row>
    <row r="190" spans="2:13" x14ac:dyDescent="0.3">
      <c r="L190" s="141"/>
      <c r="M190" s="99"/>
    </row>
    <row r="191" spans="2:13" x14ac:dyDescent="0.3">
      <c r="L191" s="141"/>
      <c r="M191" s="99"/>
    </row>
    <row r="192" spans="2:13" x14ac:dyDescent="0.3">
      <c r="L192" s="141"/>
      <c r="M192" s="99"/>
    </row>
    <row r="193" spans="10:17" x14ac:dyDescent="0.3">
      <c r="L193" s="99"/>
      <c r="M193" s="99"/>
    </row>
    <row r="194" spans="10:17" x14ac:dyDescent="0.3">
      <c r="L194" s="99"/>
      <c r="M194" s="99"/>
    </row>
    <row r="195" spans="10:17" x14ac:dyDescent="0.3">
      <c r="L195" s="99"/>
      <c r="M195" s="99"/>
    </row>
    <row r="196" spans="10:17" x14ac:dyDescent="0.3">
      <c r="L196" s="99"/>
      <c r="M196" s="99"/>
    </row>
    <row r="197" spans="10:17" x14ac:dyDescent="0.3">
      <c r="L197" s="99"/>
      <c r="M197" s="99"/>
    </row>
    <row r="198" spans="10:17" x14ac:dyDescent="0.3">
      <c r="L198" s="99"/>
      <c r="M198" s="99"/>
    </row>
    <row r="199" spans="10:17" x14ac:dyDescent="0.3">
      <c r="L199" s="99"/>
      <c r="M199" s="99"/>
    </row>
    <row r="200" spans="10:17" x14ac:dyDescent="0.3">
      <c r="N200" s="1"/>
      <c r="O200" s="1"/>
      <c r="P200" s="1"/>
      <c r="Q200" s="1"/>
    </row>
    <row r="201" spans="10:17" x14ac:dyDescent="0.3">
      <c r="N201" s="1"/>
      <c r="O201" s="1"/>
      <c r="P201" s="1"/>
      <c r="Q201" s="1"/>
    </row>
    <row r="202" spans="10:17" x14ac:dyDescent="0.3">
      <c r="N202" s="1"/>
      <c r="O202" s="1"/>
      <c r="P202" s="1"/>
      <c r="Q202" s="1"/>
    </row>
    <row r="203" spans="10:17" x14ac:dyDescent="0.3">
      <c r="J203" s="2"/>
      <c r="N203" s="1"/>
      <c r="O203" s="1"/>
      <c r="P203" s="1"/>
      <c r="Q203" s="1"/>
    </row>
    <row r="204" spans="10:17" x14ac:dyDescent="0.3">
      <c r="J204" s="2"/>
      <c r="N204" s="1"/>
      <c r="O204" s="1"/>
      <c r="P204" s="1"/>
      <c r="Q204" s="1"/>
    </row>
    <row r="205" spans="10:17" x14ac:dyDescent="0.3">
      <c r="J205" s="2"/>
      <c r="N205" s="1"/>
      <c r="O205" s="1"/>
      <c r="P205" s="1"/>
      <c r="Q205" s="1"/>
    </row>
    <row r="206" spans="10:17" x14ac:dyDescent="0.3">
      <c r="J206" s="2"/>
      <c r="N206" s="1"/>
      <c r="O206" s="1"/>
      <c r="P206" s="1"/>
      <c r="Q206" s="1"/>
    </row>
    <row r="207" spans="10:17" x14ac:dyDescent="0.3">
      <c r="J207" s="2"/>
      <c r="N207" s="1"/>
      <c r="O207" s="1"/>
      <c r="P207" s="1"/>
      <c r="Q207" s="1"/>
    </row>
    <row r="208" spans="10:17" x14ac:dyDescent="0.3">
      <c r="J208" s="2"/>
      <c r="N208" s="1"/>
      <c r="O208" s="1"/>
      <c r="P208" s="1"/>
      <c r="Q208" s="1"/>
    </row>
    <row r="209" spans="3:17" x14ac:dyDescent="0.3">
      <c r="J209" s="2"/>
      <c r="N209" s="1"/>
      <c r="O209" s="1"/>
      <c r="P209" s="1"/>
      <c r="Q209" s="1"/>
    </row>
    <row r="210" spans="3:17" x14ac:dyDescent="0.3">
      <c r="J210" s="2"/>
      <c r="N210" s="1"/>
      <c r="O210" s="1"/>
      <c r="P210" s="1"/>
      <c r="Q210" s="1"/>
    </row>
    <row r="211" spans="3:17" x14ac:dyDescent="0.3">
      <c r="J211" s="2"/>
      <c r="N211" s="1"/>
      <c r="O211" s="1"/>
      <c r="P211" s="1"/>
      <c r="Q211" s="1"/>
    </row>
    <row r="212" spans="3:17" x14ac:dyDescent="0.3">
      <c r="J212" s="2"/>
      <c r="N212" s="1"/>
      <c r="O212" s="1"/>
      <c r="P212" s="1"/>
      <c r="Q212" s="1"/>
    </row>
    <row r="213" spans="3:17" x14ac:dyDescent="0.3">
      <c r="J213" s="2"/>
      <c r="N213" s="1"/>
      <c r="O213" s="1"/>
      <c r="P213" s="1"/>
      <c r="Q213" s="1"/>
    </row>
    <row r="214" spans="3:17" x14ac:dyDescent="0.3">
      <c r="J214" s="2"/>
      <c r="N214" s="1"/>
      <c r="O214" s="1"/>
      <c r="P214" s="1"/>
      <c r="Q214" s="1"/>
    </row>
    <row r="215" spans="3:17" x14ac:dyDescent="0.3">
      <c r="J215" s="2"/>
      <c r="N215" s="1"/>
      <c r="O215" s="1"/>
      <c r="P215" s="1"/>
      <c r="Q215" s="1"/>
    </row>
    <row r="216" spans="3:17" x14ac:dyDescent="0.3">
      <c r="J216" s="2"/>
      <c r="N216" s="1"/>
      <c r="O216" s="1"/>
      <c r="P216" s="1"/>
      <c r="Q216" s="1"/>
    </row>
    <row r="217" spans="3:17" x14ac:dyDescent="0.3">
      <c r="J217" s="2"/>
      <c r="N217" s="1"/>
      <c r="O217" s="1"/>
      <c r="P217" s="1"/>
      <c r="Q217" s="1"/>
    </row>
    <row r="218" spans="3:17" x14ac:dyDescent="0.3">
      <c r="J218" s="2"/>
      <c r="N218" s="1"/>
      <c r="O218" s="1"/>
      <c r="P218" s="1"/>
      <c r="Q218" s="1"/>
    </row>
    <row r="219" spans="3:17" x14ac:dyDescent="0.3">
      <c r="J219" s="2"/>
      <c r="N219" s="1"/>
      <c r="O219" s="1"/>
      <c r="P219" s="1"/>
      <c r="Q219" s="1"/>
    </row>
    <row r="220" spans="3:17" x14ac:dyDescent="0.3">
      <c r="J220" s="2"/>
      <c r="N220" s="1"/>
      <c r="O220" s="1"/>
      <c r="P220" s="1"/>
      <c r="Q220" s="1"/>
    </row>
    <row r="221" spans="3:17" x14ac:dyDescent="0.3">
      <c r="J221" s="2"/>
      <c r="N221" s="1"/>
      <c r="O221" s="1"/>
      <c r="P221" s="1"/>
      <c r="Q221" s="1"/>
    </row>
    <row r="222" spans="3:17" x14ac:dyDescent="0.3">
      <c r="J222" s="2"/>
      <c r="N222" s="1"/>
      <c r="O222" s="1"/>
      <c r="P222" s="1"/>
      <c r="Q222" s="1"/>
    </row>
    <row r="223" spans="3:17" x14ac:dyDescent="0.3">
      <c r="J223" s="2"/>
      <c r="N223" s="1"/>
      <c r="O223" s="1"/>
      <c r="P223" s="1"/>
      <c r="Q223" s="1"/>
    </row>
    <row r="224" spans="3:17" x14ac:dyDescent="0.3">
      <c r="C224" s="143"/>
      <c r="D224" s="143"/>
      <c r="E224" s="143"/>
      <c r="F224" s="143"/>
      <c r="G224" s="143"/>
      <c r="H224" s="143"/>
    </row>
    <row r="225" spans="3:8" x14ac:dyDescent="0.3">
      <c r="C225" s="143"/>
      <c r="D225" s="143"/>
      <c r="E225" s="143"/>
      <c r="F225" s="143"/>
      <c r="G225" s="143"/>
      <c r="H225" s="143"/>
    </row>
    <row r="226" spans="3:8" x14ac:dyDescent="0.3">
      <c r="C226" s="143"/>
      <c r="D226" s="143"/>
      <c r="E226" s="143"/>
      <c r="F226" s="143"/>
      <c r="G226" s="143"/>
      <c r="H226" s="143"/>
    </row>
    <row r="227" spans="3:8" x14ac:dyDescent="0.3">
      <c r="C227" s="143"/>
      <c r="D227" s="143"/>
      <c r="E227" s="143"/>
      <c r="F227" s="143"/>
      <c r="G227" s="143"/>
      <c r="H227" s="143"/>
    </row>
    <row r="228" spans="3:8" x14ac:dyDescent="0.3">
      <c r="C228" s="143"/>
      <c r="D228" s="143"/>
      <c r="E228" s="143"/>
      <c r="F228" s="143"/>
      <c r="G228" s="143"/>
      <c r="H228" s="143"/>
    </row>
    <row r="229" spans="3:8" x14ac:dyDescent="0.3">
      <c r="C229" s="143"/>
      <c r="D229" s="143"/>
      <c r="E229" s="143"/>
      <c r="G229" s="9"/>
    </row>
    <row r="230" spans="3:8" x14ac:dyDescent="0.3">
      <c r="F230" s="9"/>
      <c r="G230" s="9"/>
      <c r="H230" s="9"/>
    </row>
    <row r="231" spans="3:8" x14ac:dyDescent="0.3">
      <c r="C231" s="143"/>
      <c r="D231" s="143"/>
      <c r="E231" s="143"/>
      <c r="F231" s="143"/>
      <c r="G231" s="143"/>
      <c r="H231" s="143"/>
    </row>
    <row r="232" spans="3:8" x14ac:dyDescent="0.3">
      <c r="C232" s="143"/>
      <c r="D232" s="143"/>
      <c r="E232" s="143"/>
      <c r="F232" s="143"/>
      <c r="G232" s="143"/>
      <c r="H232" s="143"/>
    </row>
    <row r="233" spans="3:8" x14ac:dyDescent="0.3">
      <c r="C233" s="143"/>
      <c r="D233" s="143"/>
      <c r="E233" s="143"/>
      <c r="F233" s="143"/>
      <c r="G233" s="143"/>
      <c r="H233" s="143"/>
    </row>
    <row r="234" spans="3:8" x14ac:dyDescent="0.3">
      <c r="C234" s="143"/>
      <c r="D234" s="143"/>
      <c r="E234" s="143"/>
      <c r="F234" s="143"/>
      <c r="G234" s="143"/>
      <c r="H234" s="143"/>
    </row>
    <row r="235" spans="3:8" x14ac:dyDescent="0.3">
      <c r="C235" s="143"/>
      <c r="D235" s="143"/>
      <c r="E235" s="143"/>
      <c r="F235" s="143"/>
      <c r="G235" s="143"/>
      <c r="H235" s="143"/>
    </row>
    <row r="236" spans="3:8" x14ac:dyDescent="0.3">
      <c r="C236" s="143"/>
      <c r="D236" s="143"/>
      <c r="E236" s="143"/>
      <c r="F236" s="143"/>
      <c r="G236" s="143"/>
      <c r="H236" s="143"/>
    </row>
    <row r="237" spans="3:8" x14ac:dyDescent="0.3">
      <c r="C237" s="143"/>
      <c r="D237" s="143"/>
      <c r="E237" s="143"/>
      <c r="F237" s="143"/>
      <c r="G237" s="143"/>
      <c r="H237" s="143"/>
    </row>
    <row r="238" spans="3:8" x14ac:dyDescent="0.3">
      <c r="C238" s="143"/>
      <c r="D238" s="143"/>
      <c r="E238" s="143"/>
      <c r="F238" s="143"/>
      <c r="G238" s="143"/>
      <c r="H238" s="143"/>
    </row>
    <row r="239" spans="3:8" x14ac:dyDescent="0.3">
      <c r="C239" s="143"/>
      <c r="D239" s="143"/>
      <c r="E239" s="143"/>
      <c r="F239" s="143"/>
      <c r="G239" s="143"/>
      <c r="H239" s="143"/>
    </row>
    <row r="240" spans="3:8" x14ac:dyDescent="0.3">
      <c r="C240" s="143"/>
      <c r="D240" s="143"/>
      <c r="E240" s="143"/>
      <c r="F240" s="143"/>
      <c r="G240" s="143"/>
      <c r="H240" s="143"/>
    </row>
    <row r="241" spans="3:15" x14ac:dyDescent="0.3">
      <c r="C241" s="143"/>
      <c r="D241" s="143"/>
      <c r="E241" s="143"/>
      <c r="F241" s="143"/>
      <c r="G241" s="143"/>
      <c r="H241" s="143"/>
    </row>
    <row r="242" spans="3:15" x14ac:dyDescent="0.3">
      <c r="C242" s="143"/>
      <c r="D242" s="143"/>
      <c r="E242" s="143"/>
      <c r="F242" s="143"/>
      <c r="G242" s="143"/>
      <c r="H242" s="143"/>
    </row>
    <row r="243" spans="3:15" x14ac:dyDescent="0.3">
      <c r="C243" s="143"/>
      <c r="D243" s="143"/>
      <c r="E243" s="143"/>
      <c r="F243" s="143"/>
      <c r="G243" s="143"/>
      <c r="H243" s="143"/>
      <c r="O243" s="2">
        <f>F48</f>
        <v>7106558.4866279848</v>
      </c>
    </row>
    <row r="244" spans="3:15" x14ac:dyDescent="0.3">
      <c r="C244" s="143"/>
      <c r="D244" s="143"/>
      <c r="E244" s="143"/>
      <c r="F244" s="143"/>
      <c r="G244" s="143"/>
      <c r="H244" s="143"/>
      <c r="O244" s="2" t="s">
        <v>136</v>
      </c>
    </row>
    <row r="245" spans="3:15" x14ac:dyDescent="0.3">
      <c r="C245" s="143"/>
      <c r="D245" s="143"/>
      <c r="E245" s="143"/>
      <c r="F245" s="143"/>
      <c r="G245" s="143"/>
      <c r="H245" s="143"/>
    </row>
    <row r="246" spans="3:15" x14ac:dyDescent="0.3">
      <c r="C246" s="143"/>
      <c r="D246" s="143"/>
      <c r="E246" s="143"/>
      <c r="F246" s="144"/>
      <c r="G246" s="143"/>
      <c r="H246" s="144"/>
    </row>
  </sheetData>
  <autoFilter ref="B81:Q180" xr:uid="{00000000-0001-0000-0000-000000000000}"/>
  <pageMargins left="0.19685039370078741" right="0.19685039370078741" top="0.19685039370078741" bottom="0.19685039370078741" header="0.19685039370078741" footer="0"/>
  <pageSetup paperSize="9" scale="2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A90B-03AE-4880-84DA-EAEF81111327}">
  <sheetPr>
    <pageSetUpPr fitToPage="1"/>
  </sheetPr>
  <dimension ref="A1:AS148"/>
  <sheetViews>
    <sheetView showGridLines="0" zoomScale="80" zoomScaleNormal="80" workbookViewId="0">
      <selection activeCell="B9" sqref="B9"/>
    </sheetView>
  </sheetViews>
  <sheetFormatPr defaultColWidth="9.44140625" defaultRowHeight="13.8" x14ac:dyDescent="0.3"/>
  <cols>
    <col min="1" max="1" width="5.5546875" style="1" customWidth="1"/>
    <col min="2" max="2" width="32" style="1" customWidth="1"/>
    <col min="3" max="3" width="13.44140625" style="1" bestFit="1" customWidth="1"/>
    <col min="4" max="4" width="9.44140625" style="1" customWidth="1"/>
    <col min="5" max="5" width="16.44140625" style="1" bestFit="1" customWidth="1"/>
    <col min="6" max="6" width="13.44140625" style="1" bestFit="1" customWidth="1"/>
    <col min="7" max="7" width="14.44140625" style="1" bestFit="1" customWidth="1"/>
    <col min="8" max="8" width="16.44140625" style="1" bestFit="1" customWidth="1"/>
    <col min="9" max="9" width="10.5546875" style="1" customWidth="1"/>
    <col min="10" max="10" width="14.5546875" style="1" customWidth="1"/>
    <col min="11" max="11" width="16.5546875" style="1" bestFit="1" customWidth="1"/>
    <col min="12" max="12" width="13.44140625" style="2" bestFit="1" customWidth="1"/>
    <col min="13" max="13" width="14.44140625" style="2" customWidth="1"/>
    <col min="14" max="14" width="10.44140625" style="2" bestFit="1" customWidth="1"/>
    <col min="15" max="15" width="14.44140625" style="2" bestFit="1" customWidth="1"/>
    <col min="16" max="16" width="11.5546875" style="2" customWidth="1"/>
    <col min="17" max="17" width="17.5546875" style="2" customWidth="1"/>
    <col min="18" max="18" width="10.44140625" style="2" bestFit="1" customWidth="1"/>
    <col min="19" max="19" width="14.5546875" style="1" customWidth="1"/>
    <col min="20" max="20" width="20.5546875" style="1" bestFit="1" customWidth="1"/>
    <col min="21" max="21" width="12.44140625" style="1" customWidth="1"/>
    <col min="22" max="22" width="9.5546875" style="3" customWidth="1"/>
    <col min="23" max="23" width="16.44140625" style="1" customWidth="1"/>
    <col min="24" max="24" width="12.44140625" style="1" customWidth="1"/>
    <col min="25" max="25" width="9.5546875" style="3" customWidth="1"/>
    <col min="26" max="26" width="12.44140625" style="1" customWidth="1"/>
    <col min="27" max="27" width="13.5546875" style="1" customWidth="1"/>
    <col min="28" max="28" width="11" style="1" customWidth="1"/>
    <col min="29" max="29" width="11.5546875" style="1" bestFit="1" customWidth="1"/>
    <col min="30" max="30" width="15.5546875" style="1" bestFit="1" customWidth="1"/>
    <col min="31" max="31" width="5.44140625" style="1" customWidth="1"/>
    <col min="32" max="32" width="15.5546875" style="1" customWidth="1"/>
    <col min="33" max="33" width="34" style="1" customWidth="1"/>
    <col min="34" max="34" width="10.5546875" style="1" bestFit="1" customWidth="1"/>
    <col min="35" max="35" width="6.5546875" style="1" bestFit="1" customWidth="1"/>
    <col min="36" max="16384" width="9.44140625" style="1"/>
  </cols>
  <sheetData>
    <row r="1" spans="2:45" x14ac:dyDescent="0.3">
      <c r="V1" s="1"/>
      <c r="Y1" s="1"/>
      <c r="AQ1" s="5"/>
      <c r="AR1" s="5"/>
      <c r="AS1" s="4"/>
    </row>
    <row r="2" spans="2:45" x14ac:dyDescent="0.3">
      <c r="B2" s="7"/>
      <c r="C2" s="7"/>
      <c r="D2" s="7"/>
      <c r="E2" s="7"/>
      <c r="F2" s="7"/>
      <c r="G2" s="7"/>
      <c r="H2" s="7"/>
      <c r="J2" s="8"/>
      <c r="V2" s="1"/>
      <c r="Y2" s="1"/>
      <c r="AP2" s="8"/>
      <c r="AS2" s="3"/>
    </row>
    <row r="3" spans="2:45" x14ac:dyDescent="0.3">
      <c r="B3" s="7" t="s">
        <v>137</v>
      </c>
      <c r="C3" s="7"/>
      <c r="D3" s="7"/>
      <c r="E3" s="7"/>
      <c r="F3" s="7"/>
      <c r="G3" s="7"/>
      <c r="H3" s="7"/>
      <c r="L3" s="1"/>
      <c r="M3" s="12" t="s">
        <v>3</v>
      </c>
      <c r="V3" s="1"/>
      <c r="Y3" s="1"/>
      <c r="AP3" s="8"/>
      <c r="AS3" s="3"/>
    </row>
    <row r="4" spans="2:45" ht="14.4" thickBot="1" x14ac:dyDescent="0.35">
      <c r="B4" s="7" t="s">
        <v>138</v>
      </c>
      <c r="C4" s="7"/>
      <c r="D4" s="7"/>
      <c r="E4" s="7"/>
      <c r="F4" s="7"/>
      <c r="G4" s="7"/>
      <c r="H4" s="7"/>
      <c r="L4" s="1"/>
      <c r="M4" s="1"/>
      <c r="V4" s="1"/>
      <c r="Y4" s="1"/>
      <c r="AP4" s="8"/>
      <c r="AS4" s="3"/>
    </row>
    <row r="5" spans="2:45" x14ac:dyDescent="0.3">
      <c r="B5" s="7" t="s">
        <v>139</v>
      </c>
      <c r="C5" s="7"/>
      <c r="D5" s="7"/>
      <c r="E5" s="7"/>
      <c r="F5" s="7"/>
      <c r="G5" s="7"/>
      <c r="H5" s="7"/>
      <c r="J5" s="16" t="s">
        <v>6</v>
      </c>
      <c r="K5" s="17" t="s">
        <v>7</v>
      </c>
      <c r="L5" s="17" t="s">
        <v>8</v>
      </c>
      <c r="M5" s="17" t="s">
        <v>9</v>
      </c>
      <c r="P5" s="16" t="s">
        <v>9</v>
      </c>
      <c r="Q5" s="17" t="s">
        <v>4</v>
      </c>
      <c r="V5" s="1"/>
      <c r="Y5" s="1"/>
      <c r="AP5" s="8"/>
      <c r="AS5" s="3"/>
    </row>
    <row r="6" spans="2:45" x14ac:dyDescent="0.3">
      <c r="B6" s="7" t="s">
        <v>140</v>
      </c>
      <c r="C6" s="7"/>
      <c r="D6" s="7"/>
      <c r="E6" s="7"/>
      <c r="F6" s="7"/>
      <c r="G6" s="7"/>
      <c r="H6" s="7"/>
      <c r="J6" s="13" t="s">
        <v>11</v>
      </c>
      <c r="K6" s="18">
        <f>SUM(J83,J84,J88,J94,J95,J99,J100,J104)</f>
        <v>364878.97679773503</v>
      </c>
      <c r="L6" s="19">
        <f>SUM(K83,K84,K88,K94,K95,K99,K100,K104)</f>
        <v>4125.2439904765779</v>
      </c>
      <c r="M6" s="19">
        <f>SUM(M17,M18,M22,M28,M29,M33,M34,M38,M44)</f>
        <v>175788.85137264334</v>
      </c>
      <c r="P6" s="19">
        <f>SUM(P17,P18,P22,P28,P29,P33,P34,P38,P44)</f>
        <v>177667.05358633405</v>
      </c>
      <c r="Q6" s="19">
        <f>SUM(Q17,Q18,Q22,Q29,Q34,Q38,Q44)</f>
        <v>0</v>
      </c>
      <c r="V6" s="1"/>
      <c r="Y6" s="1"/>
      <c r="AP6" s="8"/>
      <c r="AS6" s="3"/>
    </row>
    <row r="7" spans="2:45" x14ac:dyDescent="0.3">
      <c r="B7" s="7"/>
      <c r="C7" s="7"/>
      <c r="D7" s="7"/>
      <c r="E7" s="7"/>
      <c r="F7" s="7"/>
      <c r="G7" s="7"/>
      <c r="H7" s="7"/>
      <c r="J7" s="13" t="s">
        <v>13</v>
      </c>
      <c r="K7" s="18">
        <f>SUM(J86:J87,J89:J93,J96:J98,J101:J103,J105:J113)</f>
        <v>58125.112507636579</v>
      </c>
      <c r="L7" s="21">
        <f>SUM(K86:K87,K89:K93,K96:K98,K101:K103,K105:K109,K111,K110,K112,K113)</f>
        <v>9448.1481902889682</v>
      </c>
      <c r="M7" s="21">
        <f>SUM(M20:M21,M23:M27,M30:M32,M35:M37,M39:M47)</f>
        <v>52139.578772175795</v>
      </c>
      <c r="P7" s="21">
        <f>SUM(P20:P21,P23:P27,P30:P32,P35:P37,P39:P43,P45,P46,P47)</f>
        <v>193662.29078236088</v>
      </c>
      <c r="Q7" s="21">
        <f>SUM(Q20:Q21,Q23:Q27,Q30:Q32,Q35:Q37,Q39:Q47,Q28,Q33)</f>
        <v>143400.91422387576</v>
      </c>
      <c r="V7" s="1"/>
      <c r="Y7" s="1"/>
      <c r="AP7" s="8"/>
      <c r="AS7" s="3"/>
    </row>
    <row r="8" spans="2:45" ht="14.4" thickBot="1" x14ac:dyDescent="0.35">
      <c r="B8" s="7"/>
      <c r="C8" s="7"/>
      <c r="D8" s="7"/>
      <c r="E8" s="7"/>
      <c r="F8" s="7"/>
      <c r="G8" s="7"/>
      <c r="H8" s="7"/>
      <c r="J8" s="22" t="s">
        <v>15</v>
      </c>
      <c r="K8" s="23">
        <f>SUM(K6:K7)</f>
        <v>423004.08930537163</v>
      </c>
      <c r="L8" s="23">
        <f>SUM(L6:L7)</f>
        <v>13573.392180765546</v>
      </c>
      <c r="M8" s="23">
        <f>SUM(M6:M7)</f>
        <v>227928.43014481914</v>
      </c>
      <c r="P8" s="23">
        <f>SUM(P6:P7)</f>
        <v>371329.34436869493</v>
      </c>
      <c r="Q8" s="23">
        <f>SUM(Q6:Q7)</f>
        <v>143400.91422387576</v>
      </c>
      <c r="V8" s="1"/>
      <c r="Y8" s="1"/>
      <c r="AP8" s="8"/>
      <c r="AS8" s="3"/>
    </row>
    <row r="9" spans="2:45" x14ac:dyDescent="0.3">
      <c r="B9" s="7"/>
      <c r="C9" s="7"/>
      <c r="D9" s="7"/>
      <c r="E9" s="7"/>
      <c r="F9" s="7"/>
      <c r="G9" s="7"/>
      <c r="H9" s="7"/>
      <c r="L9" s="1"/>
      <c r="M9" s="1"/>
      <c r="P9" s="2">
        <f>P8-P48</f>
        <v>-58620.513548626972</v>
      </c>
      <c r="V9" s="1"/>
      <c r="Y9" s="1"/>
      <c r="AP9" s="8"/>
      <c r="AS9" s="3"/>
    </row>
    <row r="10" spans="2:45" x14ac:dyDescent="0.3">
      <c r="B10" s="7"/>
      <c r="C10" s="7"/>
      <c r="D10" s="7"/>
      <c r="E10" s="7"/>
      <c r="F10" s="7"/>
      <c r="G10" s="7"/>
      <c r="H10" s="7"/>
      <c r="J10" s="13" t="s">
        <v>18</v>
      </c>
      <c r="K10" s="18">
        <f>SUM(J86:J87,J90,J93,J97,J102,J105,J108,J91,J98,J103,J106,J110,J111,J112,J113)</f>
        <v>45691.087898479927</v>
      </c>
      <c r="L10" s="21">
        <f>SUM(K86:K87,K90,K93,K97,K102,K105,K108,K91,K98,K103,K106,K111,K110,K112)</f>
        <v>4371.2704046288809</v>
      </c>
      <c r="M10" s="21">
        <f>SUM(M20:M21,M24,M27,M31,M36,M39,M42,M25,M32,M37,M40)+M47+M46+M45</f>
        <v>40156.69740454272</v>
      </c>
      <c r="P10" s="21">
        <f>SUM(P20:P21,P24,P27,P31,P36,P39,P42,P25,P32,P37,P40,P45)</f>
        <v>144239.62716650084</v>
      </c>
      <c r="Q10" s="21">
        <f>SUM(Q20:Q21,Q24,Q27,Q31,Q36,Q39,Q42:Q47,Q25,Q32,Q37,Q40)-Q43</f>
        <v>104082.92976195813</v>
      </c>
      <c r="V10" s="1"/>
      <c r="Y10" s="1"/>
      <c r="AP10" s="8"/>
      <c r="AS10" s="3"/>
    </row>
    <row r="11" spans="2:45" x14ac:dyDescent="0.3">
      <c r="B11" s="7"/>
      <c r="C11" s="7"/>
      <c r="D11" s="7"/>
      <c r="E11" s="7"/>
      <c r="F11" s="7"/>
      <c r="G11" s="7"/>
      <c r="H11" s="24"/>
      <c r="J11" s="13" t="s">
        <v>20</v>
      </c>
      <c r="K11" s="18">
        <f>SUM(J89,J92,J96,J101,J107,J109)</f>
        <v>12434.024609156653</v>
      </c>
      <c r="L11" s="21">
        <f>SUM(K89,K92,K96,K101,K107,K109)</f>
        <v>5076.8777856600918</v>
      </c>
      <c r="M11" s="21">
        <f>SUM(M23,M26,M30,M35,M41,M43)</f>
        <v>11982.881367633079</v>
      </c>
      <c r="N11" s="20"/>
      <c r="P11" s="21">
        <f>SUM(P23,P26,P30,P35,P41,P43)</f>
        <v>49422.663615860001</v>
      </c>
      <c r="Q11" s="21">
        <f>SUM(Q23,Q26,Q30,Q35,Q41,Q43,Q28,Q33)</f>
        <v>39317.984461917622</v>
      </c>
      <c r="V11" s="1"/>
      <c r="Y11" s="1"/>
      <c r="AP11" s="8"/>
      <c r="AS11" s="3"/>
    </row>
    <row r="12" spans="2:45" ht="14.4" thickBot="1" x14ac:dyDescent="0.35">
      <c r="B12" s="7"/>
      <c r="C12" s="7"/>
      <c r="D12" s="7"/>
      <c r="E12" s="7"/>
      <c r="F12" s="7"/>
      <c r="G12" s="7"/>
      <c r="H12" s="24"/>
      <c r="J12" s="28" t="s">
        <v>22</v>
      </c>
      <c r="K12" s="28">
        <f>K7-K10-K11</f>
        <v>0</v>
      </c>
      <c r="L12" s="28">
        <f>L7-L10-L11</f>
        <v>0</v>
      </c>
      <c r="M12" s="28">
        <f>M7-M10-M11</f>
        <v>0</v>
      </c>
      <c r="P12" s="28">
        <f>P7-P10-P11</f>
        <v>0</v>
      </c>
      <c r="Q12" s="28">
        <f>Q7-Q10-Q11</f>
        <v>0</v>
      </c>
      <c r="V12" s="1"/>
      <c r="Y12" s="1"/>
      <c r="AP12" s="8"/>
      <c r="AS12" s="3"/>
    </row>
    <row r="13" spans="2:45" x14ac:dyDescent="0.3">
      <c r="B13" s="7"/>
      <c r="C13" s="7"/>
      <c r="D13" s="7"/>
      <c r="E13" s="7"/>
      <c r="F13" s="7"/>
      <c r="G13" s="7"/>
      <c r="H13" s="33"/>
      <c r="J13" s="34" t="s">
        <v>23</v>
      </c>
      <c r="K13" s="35">
        <f>SUM(H24:H25,H27,H31:H32,H36:H37,H39:H40,H42)</f>
        <v>2460560.8651179196</v>
      </c>
      <c r="V13" s="1"/>
      <c r="Y13" s="1"/>
      <c r="AP13" s="8"/>
      <c r="AS13" s="3"/>
    </row>
    <row r="14" spans="2:45" ht="14.4" thickBot="1" x14ac:dyDescent="0.35">
      <c r="B14" s="36"/>
      <c r="C14" s="37">
        <f>'[3]Shipments &amp; Prices'!$O$8*1000-C48</f>
        <v>-0.37999999988824129</v>
      </c>
      <c r="D14" s="38"/>
      <c r="E14" s="39">
        <f>E48-'[3]Shipments &amp; Prices'!$O$234</f>
        <v>0.1558373998850584</v>
      </c>
      <c r="F14" s="37">
        <f>'[4]Shipments &amp; Prices'!$O$20*1000</f>
        <v>7106558.4866279857</v>
      </c>
      <c r="G14" s="40"/>
      <c r="H14" s="41">
        <f>'[4]Shipments &amp; Prices'!$O$234-H48</f>
        <v>0</v>
      </c>
      <c r="I14" s="36"/>
      <c r="J14" s="42" t="s">
        <v>24</v>
      </c>
      <c r="K14" s="43">
        <f>SUM(H23,H26,H30,H35,H41,H43,H20,H21)</f>
        <v>930071.94856467552</v>
      </c>
      <c r="V14" s="1"/>
      <c r="Y14" s="1"/>
      <c r="AP14" s="8"/>
      <c r="AS14" s="3"/>
    </row>
    <row r="15" spans="2:45" ht="14.4" thickBot="1" x14ac:dyDescent="0.35">
      <c r="B15" s="36"/>
      <c r="C15" s="44"/>
      <c r="D15" s="45" t="s">
        <v>25</v>
      </c>
      <c r="E15" s="46"/>
      <c r="F15" s="47"/>
      <c r="G15" s="45" t="s">
        <v>26</v>
      </c>
      <c r="H15" s="48"/>
      <c r="K15" s="49"/>
      <c r="N15" s="50"/>
      <c r="O15" s="50"/>
      <c r="P15" s="50"/>
      <c r="Q15" s="50"/>
      <c r="R15" s="50"/>
      <c r="V15" s="1"/>
      <c r="Y15" s="1"/>
      <c r="AP15" s="8"/>
      <c r="AS15" s="3"/>
    </row>
    <row r="16" spans="2:45" x14ac:dyDescent="0.3">
      <c r="B16" s="51" t="s">
        <v>27</v>
      </c>
      <c r="C16" s="52" t="s">
        <v>28</v>
      </c>
      <c r="D16" s="53" t="s">
        <v>29</v>
      </c>
      <c r="E16" s="17" t="s">
        <v>30</v>
      </c>
      <c r="F16" s="52" t="s">
        <v>28</v>
      </c>
      <c r="G16" s="53" t="s">
        <v>29</v>
      </c>
      <c r="H16" s="17" t="s">
        <v>30</v>
      </c>
      <c r="I16" s="16" t="s">
        <v>31</v>
      </c>
      <c r="J16" s="17" t="s">
        <v>32</v>
      </c>
      <c r="K16" s="17" t="s">
        <v>33</v>
      </c>
      <c r="L16" s="17" t="s">
        <v>34</v>
      </c>
      <c r="M16" s="17" t="s">
        <v>9</v>
      </c>
      <c r="O16" s="16" t="s">
        <v>33</v>
      </c>
      <c r="P16" s="17" t="s">
        <v>9</v>
      </c>
      <c r="Q16" s="17" t="s">
        <v>4</v>
      </c>
      <c r="V16" s="1"/>
      <c r="Y16" s="1"/>
    </row>
    <row r="17" spans="2:39" x14ac:dyDescent="0.3">
      <c r="B17" s="13" t="s">
        <v>35</v>
      </c>
      <c r="C17" s="54">
        <f>'[3]Shipments &amp; Prices'!$O$23*1000</f>
        <v>961000</v>
      </c>
      <c r="D17" s="55">
        <f t="shared" ref="D17:D45" si="0">IF(ISERROR((+E17/C17)*1000),0,(+E17/C17)*1000)</f>
        <v>521.6467174857612</v>
      </c>
      <c r="E17" s="56">
        <f>'[3]Shipments &amp; Prices'!$O$237</f>
        <v>501302.49550381646</v>
      </c>
      <c r="F17" s="54">
        <f>'[4]Shipments &amp; Prices'!$O$23*1000</f>
        <v>966247.86999999988</v>
      </c>
      <c r="G17" s="55">
        <f t="shared" ref="G17:G46" si="1">IF(ISERROR((+H17/F17)*1000),0,(+H17/F17)*1000)</f>
        <v>611.98900059572838</v>
      </c>
      <c r="H17" s="56">
        <f>'[4]Shipments &amp; Prices'!$O$237</f>
        <v>591333.06828905118</v>
      </c>
      <c r="I17" s="18">
        <f t="shared" ref="I17:I47" si="2">(F17-J17)*D17/1000</f>
        <v>11455.528703057071</v>
      </c>
      <c r="J17" s="18">
        <f t="shared" ref="J17:J47" si="3">$F$48*C17/$C$48</f>
        <v>944287.5502681504</v>
      </c>
      <c r="K17" s="18">
        <f>G17-D17</f>
        <v>90.342283109967184</v>
      </c>
      <c r="L17" s="57"/>
      <c r="M17" s="19">
        <f>K17*F17/1000</f>
        <v>87293.038625942747</v>
      </c>
      <c r="O17" s="18">
        <f t="shared" ref="O17:O47" si="4">G17-D17</f>
        <v>90.342283109967184</v>
      </c>
      <c r="P17" s="19">
        <f t="shared" ref="P17:P47" si="5">O17*F17/1000</f>
        <v>87293.038625942747</v>
      </c>
      <c r="Q17" s="19">
        <f t="shared" ref="Q17:Q47" si="6">P17-M17</f>
        <v>0</v>
      </c>
      <c r="R17" s="20"/>
      <c r="V17" s="1"/>
      <c r="Y17" s="1"/>
    </row>
    <row r="18" spans="2:39" x14ac:dyDescent="0.3">
      <c r="B18" s="13" t="s">
        <v>36</v>
      </c>
      <c r="C18" s="54">
        <f>[5]TUBARÃO_VEGA!$O$614*1000</f>
        <v>400000</v>
      </c>
      <c r="D18" s="55">
        <f t="shared" si="0"/>
        <v>444.57400371677562</v>
      </c>
      <c r="E18" s="56">
        <f>[5]TUBARÃO_VEGA!$O$626</f>
        <v>177829.60148671025</v>
      </c>
      <c r="F18" s="54">
        <f>'[4]Shipments &amp; Prices'!$O$614*1000</f>
        <v>997327.08221481298</v>
      </c>
      <c r="G18" s="55">
        <f t="shared" si="1"/>
        <v>516.61738349209077</v>
      </c>
      <c r="H18" s="56">
        <f>'[4]Shipments &amp; Prices'!$O$626</f>
        <v>515236.507699618</v>
      </c>
      <c r="I18" s="18">
        <f t="shared" si="2"/>
        <v>268648.67131956422</v>
      </c>
      <c r="J18" s="18">
        <f t="shared" si="3"/>
        <v>393043.72539777332</v>
      </c>
      <c r="K18" s="18">
        <f>G18-D18</f>
        <v>72.043379775315145</v>
      </c>
      <c r="L18" s="57"/>
      <c r="M18" s="19">
        <f>K18*F18/1000</f>
        <v>71850.813744208717</v>
      </c>
      <c r="O18" s="18">
        <f t="shared" si="4"/>
        <v>72.043379775315145</v>
      </c>
      <c r="P18" s="19">
        <f t="shared" si="5"/>
        <v>71850.813744208717</v>
      </c>
      <c r="Q18" s="19">
        <f t="shared" si="6"/>
        <v>0</v>
      </c>
      <c r="V18" s="1"/>
      <c r="Y18" s="1"/>
    </row>
    <row r="19" spans="2:39" x14ac:dyDescent="0.3">
      <c r="B19" s="13" t="s">
        <v>37</v>
      </c>
      <c r="C19" s="54">
        <f>[5]TUBARÃO_VEGA!$O$615*1000</f>
        <v>1423164.3800000001</v>
      </c>
      <c r="D19" s="55">
        <f t="shared" si="0"/>
        <v>453.28100142169086</v>
      </c>
      <c r="E19" s="56">
        <f>[5]TUBARÃO_VEGA!$O$627</f>
        <v>645093.37535407988</v>
      </c>
      <c r="F19" s="54">
        <f>'[4]Shipments &amp; Prices'!$O$615*1000</f>
        <v>874385.0420000006</v>
      </c>
      <c r="G19" s="55">
        <f t="shared" si="1"/>
        <v>520.32299177246705</v>
      </c>
      <c r="H19" s="56">
        <f>'[4]Shipments &amp; Prices'!$O$627</f>
        <v>454962.64101453451</v>
      </c>
      <c r="I19" s="18">
        <f t="shared" si="2"/>
        <v>-237532.63123057163</v>
      </c>
      <c r="J19" s="18">
        <f t="shared" si="3"/>
        <v>1398414.5744215308</v>
      </c>
      <c r="K19" s="18">
        <f>G19-D19</f>
        <v>67.041990350776189</v>
      </c>
      <c r="L19" s="57"/>
      <c r="M19" s="19">
        <f>K19*F19/1000</f>
        <v>58620.513548627074</v>
      </c>
      <c r="O19" s="18">
        <f t="shared" si="4"/>
        <v>67.041990350776189</v>
      </c>
      <c r="P19" s="19">
        <f t="shared" si="5"/>
        <v>58620.513548627074</v>
      </c>
      <c r="Q19" s="19">
        <f t="shared" si="6"/>
        <v>0</v>
      </c>
      <c r="V19" s="1"/>
      <c r="Y19" s="1"/>
    </row>
    <row r="20" spans="2:39" x14ac:dyDescent="0.3">
      <c r="B20" s="13" t="s">
        <v>38</v>
      </c>
      <c r="C20" s="54">
        <f>'[3]Shipments &amp; Prices'!$O$25*1000</f>
        <v>31000.000000000004</v>
      </c>
      <c r="D20" s="55">
        <f t="shared" si="0"/>
        <v>451.10153901713392</v>
      </c>
      <c r="E20" s="56">
        <f>'[3]Shipments &amp; Prices'!$O$239</f>
        <v>13984.147709531153</v>
      </c>
      <c r="F20" s="54">
        <f>'[4]Shipments &amp; Prices'!$O$25*1000</f>
        <v>32424.16</v>
      </c>
      <c r="G20" s="55">
        <f t="shared" si="1"/>
        <v>464.42370858452688</v>
      </c>
      <c r="H20" s="56">
        <f>'[4]Shipments &amp; Prices'!$O$239</f>
        <v>15058.548634938072</v>
      </c>
      <c r="I20" s="18">
        <f t="shared" si="2"/>
        <v>885.6346966706335</v>
      </c>
      <c r="J20" s="18">
        <f t="shared" si="3"/>
        <v>30460.888718327438</v>
      </c>
      <c r="K20" s="57"/>
      <c r="L20" s="18">
        <f>(G20*$H$116)-(D20*$E$116)</f>
        <v>-31.991604487952372</v>
      </c>
      <c r="M20" s="21">
        <f>L20*F20/1000/$E$116</f>
        <v>-192.0927597359418</v>
      </c>
      <c r="O20" s="18">
        <f t="shared" si="4"/>
        <v>13.322169567392962</v>
      </c>
      <c r="P20" s="21">
        <f t="shared" si="5"/>
        <v>431.96015760028018</v>
      </c>
      <c r="Q20" s="21">
        <f t="shared" si="6"/>
        <v>624.05291733622198</v>
      </c>
      <c r="R20" s="66"/>
      <c r="V20" s="1"/>
      <c r="Y20" s="1"/>
    </row>
    <row r="21" spans="2:39" x14ac:dyDescent="0.3">
      <c r="B21" s="13" t="s">
        <v>39</v>
      </c>
      <c r="C21" s="54">
        <f>'[3]Shipments &amp; Prices'!$O$28*1000</f>
        <v>18000</v>
      </c>
      <c r="D21" s="55">
        <f t="shared" si="0"/>
        <v>685.40017271724957</v>
      </c>
      <c r="E21" s="56">
        <f>'[3]Shipments &amp; Prices'!$O$242</f>
        <v>12337.203108910493</v>
      </c>
      <c r="F21" s="54">
        <f>'[4]Shipments &amp; Prices'!$O$28*1000</f>
        <v>16529.159999999996</v>
      </c>
      <c r="G21" s="55">
        <f t="shared" si="1"/>
        <v>700.72228280710522</v>
      </c>
      <c r="H21" s="56">
        <f>'[4]Shipments &amp; Prices'!$O$242</f>
        <v>11582.350728083889</v>
      </c>
      <c r="I21" s="18">
        <f t="shared" si="2"/>
        <v>-793.56155841687644</v>
      </c>
      <c r="J21" s="18">
        <f t="shared" si="3"/>
        <v>17686.967642899799</v>
      </c>
      <c r="K21" s="57"/>
      <c r="L21" s="18">
        <f>(G21*$H$116)-(D21*$E$116)</f>
        <v>-74.07213465471068</v>
      </c>
      <c r="M21" s="21">
        <f>L21*F21/1000/$E$116</f>
        <v>-226.73151208319578</v>
      </c>
      <c r="O21" s="18">
        <f t="shared" si="4"/>
        <v>15.322110089855641</v>
      </c>
      <c r="P21" s="21">
        <f t="shared" si="5"/>
        <v>253.26160921283824</v>
      </c>
      <c r="Q21" s="21">
        <f t="shared" si="6"/>
        <v>479.99312129603402</v>
      </c>
      <c r="R21" s="66"/>
      <c r="V21" s="1"/>
      <c r="Y21" s="1"/>
    </row>
    <row r="22" spans="2:39" x14ac:dyDescent="0.3">
      <c r="B22" s="13" t="s">
        <v>40</v>
      </c>
      <c r="C22" s="54">
        <f>'[3]Shipments &amp; Prices'!$O$30*1000</f>
        <v>433467</v>
      </c>
      <c r="D22" s="55">
        <f t="shared" si="0"/>
        <v>482.26451396374244</v>
      </c>
      <c r="E22" s="56">
        <f>'[3]Shipments &amp; Prices'!$O$244</f>
        <v>209045.75207432153</v>
      </c>
      <c r="F22" s="54">
        <f>'[4]Shipments &amp; Prices'!$O$30*1000</f>
        <v>197566.82000000007</v>
      </c>
      <c r="G22" s="55">
        <f t="shared" si="1"/>
        <v>557.07307353203691</v>
      </c>
      <c r="H22" s="56">
        <f>'[4]Shipments &amp; Prices'!$O$244</f>
        <v>110059.15564535075</v>
      </c>
      <c r="I22" s="18">
        <f t="shared" si="2"/>
        <v>-110130.8365120144</v>
      </c>
      <c r="J22" s="18">
        <f t="shared" si="3"/>
        <v>425928.71129249159</v>
      </c>
      <c r="K22" s="18">
        <f>G22-D22</f>
        <v>74.80855956829447</v>
      </c>
      <c r="L22" s="57"/>
      <c r="M22" s="19">
        <f>K22*F22/1000</f>
        <v>14779.689222688517</v>
      </c>
      <c r="O22" s="18">
        <f t="shared" si="4"/>
        <v>74.80855956829447</v>
      </c>
      <c r="P22" s="19">
        <f t="shared" si="5"/>
        <v>14779.689222688517</v>
      </c>
      <c r="Q22" s="19">
        <f t="shared" si="6"/>
        <v>0</v>
      </c>
      <c r="R22" s="66"/>
      <c r="V22" s="1"/>
      <c r="Y22" s="1"/>
    </row>
    <row r="23" spans="2:39" x14ac:dyDescent="0.3">
      <c r="B23" s="13" t="s">
        <v>41</v>
      </c>
      <c r="C23" s="54">
        <f>'[3]Shipments &amp; Prices'!$O$34*1000</f>
        <v>85817.96</v>
      </c>
      <c r="D23" s="55">
        <f t="shared" si="0"/>
        <v>681.44089467682966</v>
      </c>
      <c r="E23" s="56">
        <f>'[3]Shipments &amp; Prices'!$O$248</f>
        <v>58479.867441740382</v>
      </c>
      <c r="F23" s="54">
        <f>'[4]Shipments &amp; Prices'!$O$34*1000</f>
        <v>100236.84017419748</v>
      </c>
      <c r="G23" s="55">
        <f t="shared" si="1"/>
        <v>725.8299650909795</v>
      </c>
      <c r="H23" s="56">
        <f>'[4]Shipments &amp; Prices'!$O$248</f>
        <v>72754.902204467857</v>
      </c>
      <c r="I23" s="18">
        <f t="shared" si="2"/>
        <v>10842.619647709535</v>
      </c>
      <c r="J23" s="18">
        <f t="shared" si="3"/>
        <v>84325.52676109274</v>
      </c>
      <c r="K23" s="57"/>
      <c r="L23" s="18">
        <f>(G23*$H$116)-(D23*$E$116)</f>
        <v>77.270714332004445</v>
      </c>
      <c r="M23" s="21">
        <f>L23*F23/1000/$E$116</f>
        <v>1434.328193082074</v>
      </c>
      <c r="O23" s="18">
        <f t="shared" si="4"/>
        <v>44.389070414149842</v>
      </c>
      <c r="P23" s="21">
        <f t="shared" si="5"/>
        <v>4449.4201565843359</v>
      </c>
      <c r="Q23" s="21">
        <f t="shared" si="6"/>
        <v>3015.0919635022619</v>
      </c>
      <c r="R23" s="66"/>
      <c r="V23" s="1"/>
      <c r="Y23" s="1"/>
    </row>
    <row r="24" spans="2:39" x14ac:dyDescent="0.3">
      <c r="B24" s="13" t="s">
        <v>42</v>
      </c>
      <c r="C24" s="54">
        <f>('[3]Shipments &amp; Prices'!$O$35)*1000</f>
        <v>1438681.32</v>
      </c>
      <c r="D24" s="55">
        <f t="shared" si="0"/>
        <v>658.7720119535602</v>
      </c>
      <c r="E24" s="56">
        <f>'[3]Shipments &amp; Prices'!$O$249</f>
        <v>947762.98773640371</v>
      </c>
      <c r="F24" s="54">
        <f>('[4]Shipments &amp; Prices'!$O$35)*1000</f>
        <v>1441770.7359999982</v>
      </c>
      <c r="G24" s="55">
        <f t="shared" si="1"/>
        <v>693.84695980764207</v>
      </c>
      <c r="H24" s="56">
        <f>'[4]Shipments &amp; Prices'!$O$249</f>
        <v>1000368.2419132253</v>
      </c>
      <c r="I24" s="18">
        <f t="shared" si="2"/>
        <v>18517.469795383251</v>
      </c>
      <c r="J24" s="18">
        <f t="shared" si="3"/>
        <v>1413661.6641824653</v>
      </c>
      <c r="K24" s="57"/>
      <c r="L24" s="18">
        <f>(G24*$H$116)-(D24*$E$116)</f>
        <v>34.131787286373765</v>
      </c>
      <c r="M24" s="21">
        <f>L24*F24/1000/$E$116</f>
        <v>9113.0022364574961</v>
      </c>
      <c r="O24" s="18">
        <f t="shared" si="4"/>
        <v>35.07494785408187</v>
      </c>
      <c r="P24" s="21">
        <f t="shared" si="5"/>
        <v>50570.033382741174</v>
      </c>
      <c r="Q24" s="21">
        <f t="shared" si="6"/>
        <v>41457.031146283676</v>
      </c>
      <c r="R24" s="66"/>
      <c r="V24" s="1"/>
      <c r="Y24" s="1"/>
    </row>
    <row r="25" spans="2:39" x14ac:dyDescent="0.3">
      <c r="B25" s="13" t="s">
        <v>43</v>
      </c>
      <c r="C25" s="54">
        <f>+'[3]Shipments &amp; Prices'!$O$36*1000</f>
        <v>427373.81000000006</v>
      </c>
      <c r="D25" s="55">
        <f t="shared" si="0"/>
        <v>755.5041542863396</v>
      </c>
      <c r="E25" s="56">
        <f>+'[3]Shipments &amp; Prices'!$O$250</f>
        <v>322882.68888818083</v>
      </c>
      <c r="F25" s="54">
        <f>+'[4]Shipments &amp; Prices'!$O$36*1000</f>
        <v>446359.43442400004</v>
      </c>
      <c r="G25" s="55">
        <f t="shared" si="1"/>
        <v>799.87145597196456</v>
      </c>
      <c r="H25" s="56">
        <f>'[4]Shipments &amp; Prices'!$O$250</f>
        <v>357030.17069954751</v>
      </c>
      <c r="I25" s="18">
        <f t="shared" si="2"/>
        <v>19958.86974458097</v>
      </c>
      <c r="J25" s="18">
        <f t="shared" si="3"/>
        <v>419941.48604960041</v>
      </c>
      <c r="K25" s="57"/>
      <c r="L25" s="18">
        <f>(G25*$H$116)-(D25*$E$116)</f>
        <v>60.583746626350148</v>
      </c>
      <c r="M25" s="21">
        <f>L25*F25/1000/$E$116</f>
        <v>5007.8012739675132</v>
      </c>
      <c r="O25" s="18">
        <f t="shared" si="4"/>
        <v>44.367301685624966</v>
      </c>
      <c r="P25" s="21">
        <f t="shared" si="5"/>
        <v>19803.763687314546</v>
      </c>
      <c r="Q25" s="21">
        <f t="shared" si="6"/>
        <v>14795.962413347032</v>
      </c>
      <c r="R25" s="66"/>
      <c r="V25" s="1"/>
      <c r="Y25" s="1"/>
    </row>
    <row r="26" spans="2:39" x14ac:dyDescent="0.3">
      <c r="B26" s="13" t="s">
        <v>44</v>
      </c>
      <c r="C26" s="54">
        <f>'[3]Shipments &amp; Prices'!$O$44*1000</f>
        <v>102999.19000000002</v>
      </c>
      <c r="D26" s="55">
        <f t="shared" si="0"/>
        <v>859.20610955438804</v>
      </c>
      <c r="E26" s="56">
        <f>'[3]Shipments &amp; Prices'!$O$258</f>
        <v>88497.533327153244</v>
      </c>
      <c r="F26" s="54">
        <f>'[4]Shipments &amp; Prices'!$O$44*1000</f>
        <v>90523.857724700007</v>
      </c>
      <c r="G26" s="55">
        <f t="shared" si="1"/>
        <v>914.47188458082758</v>
      </c>
      <c r="H26" s="56">
        <f>'[4]Shipments &amp; Prices'!$O$258</f>
        <v>82781.522773033124</v>
      </c>
      <c r="I26" s="18">
        <f t="shared" si="2"/>
        <v>-9179.8488510503485</v>
      </c>
      <c r="J26" s="18">
        <f t="shared" si="3"/>
        <v>101207.96337638272</v>
      </c>
      <c r="K26" s="57"/>
      <c r="L26" s="18">
        <f>(G26*$H$116)-(D26*$E$116)</f>
        <v>93.789581463477589</v>
      </c>
      <c r="M26" s="21">
        <f>L26*F26/1000/$E$116</f>
        <v>1572.2582830479639</v>
      </c>
      <c r="O26" s="18">
        <f t="shared" si="4"/>
        <v>55.265775026439542</v>
      </c>
      <c r="P26" s="21">
        <f t="shared" si="5"/>
        <v>5002.8711555386917</v>
      </c>
      <c r="Q26" s="21">
        <f t="shared" si="6"/>
        <v>3430.6128724907276</v>
      </c>
      <c r="R26" s="66"/>
      <c r="V26" s="1"/>
      <c r="Y26" s="1"/>
      <c r="AM26" s="63"/>
    </row>
    <row r="27" spans="2:39" x14ac:dyDescent="0.3">
      <c r="B27" s="13" t="s">
        <v>45</v>
      </c>
      <c r="C27" s="54">
        <f>'[3]Shipments &amp; Prices'!$O$45*1000</f>
        <v>0</v>
      </c>
      <c r="D27" s="64">
        <f>G27</f>
        <v>723.26749918165478</v>
      </c>
      <c r="E27" s="56">
        <f>'[3]Shipments &amp; Prices'!$O$259</f>
        <v>0</v>
      </c>
      <c r="F27" s="54">
        <f>'[4]Shipments &amp; Prices'!$O$45*1000</f>
        <v>45424.208000000021</v>
      </c>
      <c r="G27" s="55">
        <f t="shared" si="1"/>
        <v>723.26749918165478</v>
      </c>
      <c r="H27" s="56">
        <f>'[4]Shipments &amp; Prices'!$O$259</f>
        <v>32853.85332246733</v>
      </c>
      <c r="I27" s="18">
        <f t="shared" si="2"/>
        <v>32853.85332246733</v>
      </c>
      <c r="J27" s="18">
        <f t="shared" si="3"/>
        <v>0</v>
      </c>
      <c r="K27" s="57"/>
      <c r="L27" s="18">
        <f>(G27*$H$116)-(D27*$E$116)</f>
        <v>-161.8568230334281</v>
      </c>
      <c r="M27" s="21">
        <f>L27*F27/1000/$E$116</f>
        <v>-1361.5218510536356</v>
      </c>
      <c r="O27" s="18">
        <f t="shared" si="4"/>
        <v>0</v>
      </c>
      <c r="P27" s="21">
        <f t="shared" si="5"/>
        <v>0</v>
      </c>
      <c r="Q27" s="21">
        <f t="shared" si="6"/>
        <v>1361.5218510536356</v>
      </c>
      <c r="R27" s="66"/>
      <c r="V27" s="1"/>
      <c r="Y27" s="1"/>
      <c r="AM27" s="63"/>
    </row>
    <row r="28" spans="2:39" x14ac:dyDescent="0.3">
      <c r="B28" s="13" t="s">
        <v>46</v>
      </c>
      <c r="C28" s="54">
        <f>'[3]Shipments &amp; Prices'!$O$48*1000</f>
        <v>1220.3923579624538</v>
      </c>
      <c r="D28" s="55">
        <f t="shared" si="0"/>
        <v>882.99233785211345</v>
      </c>
      <c r="E28" s="56">
        <f>'[3]Shipments &amp; Prices'!$O$262</f>
        <v>1077.5971012541204</v>
      </c>
      <c r="F28" s="54">
        <f>'[4]Shipments &amp; Prices'!$O$48*1000</f>
        <v>1887.8105506815871</v>
      </c>
      <c r="G28" s="55">
        <f t="shared" si="1"/>
        <v>937.18709384501119</v>
      </c>
      <c r="H28" s="56">
        <f>'[4]Shipments &amp; Prices'!$O$262</f>
        <v>1769.2316837232268</v>
      </c>
      <c r="I28" s="18">
        <f t="shared" si="2"/>
        <v>608.06530368131757</v>
      </c>
      <c r="J28" s="18">
        <f t="shared" si="3"/>
        <v>1199.1688970513396</v>
      </c>
      <c r="K28" s="57"/>
      <c r="L28" s="18">
        <f>(G28*$H$116)-(D28*$E$116)</f>
        <v>82.922742834687597</v>
      </c>
      <c r="M28" s="21">
        <f>L28*F28/1000/$E$116</f>
        <v>28.989338669403555</v>
      </c>
      <c r="O28" s="18">
        <f t="shared" si="4"/>
        <v>54.19475599289774</v>
      </c>
      <c r="P28" s="21">
        <f t="shared" si="5"/>
        <v>102.30943215500652</v>
      </c>
      <c r="Q28" s="21">
        <f t="shared" si="6"/>
        <v>73.320093485602968</v>
      </c>
      <c r="R28" s="66"/>
      <c r="V28" s="1"/>
      <c r="Y28" s="1"/>
    </row>
    <row r="29" spans="2:39" x14ac:dyDescent="0.3">
      <c r="B29" s="13" t="s">
        <v>47</v>
      </c>
      <c r="C29" s="54">
        <f>'[3]Shipments &amp; Prices'!$O$49*1000</f>
        <v>492.26</v>
      </c>
      <c r="D29" s="55">
        <f t="shared" si="0"/>
        <v>323.3149331466999</v>
      </c>
      <c r="E29" s="56">
        <f>'[3]Shipments &amp; Prices'!$O$263</f>
        <v>159.1550089907945</v>
      </c>
      <c r="F29" s="54">
        <f>'[4]Shipments &amp; Prices'!$O$49*1000</f>
        <v>4847.375</v>
      </c>
      <c r="G29" s="55">
        <f t="shared" si="1"/>
        <v>603.52341365485699</v>
      </c>
      <c r="H29" s="56">
        <f>'[4]Shipments &amp; Prices'!$O$263</f>
        <v>2925.504307265212</v>
      </c>
      <c r="I29" s="18">
        <f t="shared" si="2"/>
        <v>1410.8415299383396</v>
      </c>
      <c r="J29" s="18">
        <f t="shared" si="3"/>
        <v>483.69926066076977</v>
      </c>
      <c r="K29" s="18">
        <f>G29-D29</f>
        <v>280.20848050815709</v>
      </c>
      <c r="L29" s="57"/>
      <c r="M29" s="19">
        <f>K29*F29/1000</f>
        <v>1358.2755832032281</v>
      </c>
      <c r="O29" s="18">
        <f t="shared" si="4"/>
        <v>280.20848050815709</v>
      </c>
      <c r="P29" s="19">
        <f t="shared" si="5"/>
        <v>1358.2755832032281</v>
      </c>
      <c r="Q29" s="19">
        <f t="shared" si="6"/>
        <v>0</v>
      </c>
      <c r="R29" s="66"/>
      <c r="V29" s="1"/>
      <c r="Y29" s="1"/>
    </row>
    <row r="30" spans="2:39" x14ac:dyDescent="0.3">
      <c r="B30" s="13" t="s">
        <v>48</v>
      </c>
      <c r="C30" s="54">
        <f>'[3]Shipments &amp; Prices'!$O$51*1000</f>
        <v>90127.470395196156</v>
      </c>
      <c r="D30" s="55">
        <f t="shared" si="0"/>
        <v>922.02222687578126</v>
      </c>
      <c r="E30" s="56">
        <f>'[3]Shipments &amp; Prices'!$O$265</f>
        <v>83099.530956459814</v>
      </c>
      <c r="F30" s="54">
        <f>'[4]Shipments &amp; Prices'!$O$51*1000</f>
        <v>95622.293215625148</v>
      </c>
      <c r="G30" s="55">
        <f t="shared" si="1"/>
        <v>982.99579011657045</v>
      </c>
      <c r="H30" s="56">
        <f>'[4]Shipments &amp; Prices'!$O$265</f>
        <v>93996.311672251817</v>
      </c>
      <c r="I30" s="18">
        <f t="shared" si="2"/>
        <v>6511.5066648032234</v>
      </c>
      <c r="J30" s="18">
        <f t="shared" si="3"/>
        <v>88560.091812013561</v>
      </c>
      <c r="K30" s="57"/>
      <c r="L30" s="18">
        <f>(G30*$H$116)-(D30*$E$116)</f>
        <v>109.27697718101263</v>
      </c>
      <c r="M30" s="21">
        <f>L30*F30/1000/$E$116</f>
        <v>1935.0583617999937</v>
      </c>
      <c r="O30" s="18">
        <f t="shared" si="4"/>
        <v>60.97356324078919</v>
      </c>
      <c r="P30" s="21">
        <f t="shared" si="5"/>
        <v>5830.4319426122074</v>
      </c>
      <c r="Q30" s="21">
        <f t="shared" si="6"/>
        <v>3895.3735808122137</v>
      </c>
      <c r="R30" s="66"/>
      <c r="V30" s="1"/>
      <c r="Y30" s="1"/>
    </row>
    <row r="31" spans="2:39" x14ac:dyDescent="0.3">
      <c r="B31" s="13" t="s">
        <v>49</v>
      </c>
      <c r="C31" s="54">
        <f>('[3]Shipments &amp; Prices'!$O$52)*1000</f>
        <v>265325.53999999992</v>
      </c>
      <c r="D31" s="55">
        <f t="shared" si="0"/>
        <v>788.21578807237404</v>
      </c>
      <c r="E31" s="56">
        <f>'[3]Shipments &amp; Prices'!$O$266</f>
        <v>209133.77960682815</v>
      </c>
      <c r="F31" s="54">
        <f>('[4]Shipments &amp; Prices'!$O$52)*1000</f>
        <v>286122.31839448167</v>
      </c>
      <c r="G31" s="55">
        <f t="shared" si="1"/>
        <v>844.90554447654165</v>
      </c>
      <c r="H31" s="56">
        <f>'[4]Shipments &amp; Prices'!$O$266</f>
        <v>241746.33320997993</v>
      </c>
      <c r="I31" s="18">
        <f t="shared" si="2"/>
        <v>20029.329070439559</v>
      </c>
      <c r="J31" s="18">
        <f t="shared" si="3"/>
        <v>260711.34671193975</v>
      </c>
      <c r="K31" s="57"/>
      <c r="L31" s="18">
        <f>(G31*$H$116)-(D31*$E$116)</f>
        <v>117.04702334785452</v>
      </c>
      <c r="M31" s="21">
        <f>L31*F31/1000/$E$116</f>
        <v>6201.8084595298442</v>
      </c>
      <c r="O31" s="18">
        <f t="shared" si="4"/>
        <v>56.689756404167611</v>
      </c>
      <c r="P31" s="21">
        <f t="shared" si="5"/>
        <v>16220.204531578853</v>
      </c>
      <c r="Q31" s="21">
        <f t="shared" si="6"/>
        <v>10018.396072049009</v>
      </c>
      <c r="R31" s="66"/>
      <c r="V31" s="1"/>
      <c r="Y31" s="1"/>
    </row>
    <row r="32" spans="2:39" x14ac:dyDescent="0.3">
      <c r="B32" s="13" t="s">
        <v>50</v>
      </c>
      <c r="C32" s="54">
        <f>+'[3]Shipments &amp; Prices'!$O$53*1000</f>
        <v>110301.97000000002</v>
      </c>
      <c r="D32" s="55">
        <f t="shared" si="0"/>
        <v>833.5004192996837</v>
      </c>
      <c r="E32" s="56">
        <f>+'[3]Shipments &amp; Prices'!$O$267</f>
        <v>91936.738244581138</v>
      </c>
      <c r="F32" s="54">
        <f>+'[4]Shipments &amp; Prices'!$O$53*1000</f>
        <v>117390.91099999999</v>
      </c>
      <c r="G32" s="55">
        <f t="shared" si="1"/>
        <v>892.18139614142331</v>
      </c>
      <c r="H32" s="56">
        <f>+'[4]Shipments &amp; Prices'!$O$267</f>
        <v>104733.98687029356</v>
      </c>
      <c r="I32" s="18">
        <f t="shared" si="2"/>
        <v>7507.4782890465494</v>
      </c>
      <c r="J32" s="18">
        <f t="shared" si="3"/>
        <v>108383.7430187836</v>
      </c>
      <c r="K32" s="57"/>
      <c r="L32" s="18">
        <f>(G32*$H$116)-(D32*$E$116)</f>
        <v>117.21996072573438</v>
      </c>
      <c r="M32" s="21">
        <f>L32*F32/1000/$E$116</f>
        <v>2548.2514772181812</v>
      </c>
      <c r="O32" s="18">
        <f t="shared" si="4"/>
        <v>58.680976841739607</v>
      </c>
      <c r="P32" s="21">
        <f t="shared" si="5"/>
        <v>6888.6133298217155</v>
      </c>
      <c r="Q32" s="21">
        <f t="shared" si="6"/>
        <v>4340.3618526035343</v>
      </c>
      <c r="R32" s="66"/>
      <c r="V32" s="1"/>
      <c r="Y32" s="1"/>
    </row>
    <row r="33" spans="2:28" x14ac:dyDescent="0.3">
      <c r="B33" s="13" t="s">
        <v>51</v>
      </c>
      <c r="C33" s="54">
        <f>'[3]Shipments &amp; Prices'!$O$61*1000</f>
        <v>49551.853244528029</v>
      </c>
      <c r="D33" s="55">
        <f t="shared" si="0"/>
        <v>1018.0180553139453</v>
      </c>
      <c r="E33" s="56">
        <f>'[3]Shipments &amp; Prices'!$O$275</f>
        <v>50444.681277196432</v>
      </c>
      <c r="F33" s="54">
        <f>'[4]Shipments &amp; Prices'!$O$61*1000</f>
        <v>41148.523634731071</v>
      </c>
      <c r="G33" s="55">
        <f t="shared" si="1"/>
        <v>1058.4157236736737</v>
      </c>
      <c r="H33" s="56">
        <f>'[4]Shipments &amp; Prices'!$O$275</f>
        <v>43552.244420957155</v>
      </c>
      <c r="I33" s="18">
        <f t="shared" si="2"/>
        <v>-7677.4736295626453</v>
      </c>
      <c r="J33" s="18">
        <f t="shared" si="3"/>
        <v>48690.112498982598</v>
      </c>
      <c r="K33" s="57"/>
      <c r="L33" s="18">
        <f>(G33*$H$116)-(D33*$E$116)</f>
        <v>-18.710747315871231</v>
      </c>
      <c r="M33" s="21">
        <f>L33*F33/1000/$E$116</f>
        <v>-142.5777089167793</v>
      </c>
      <c r="O33" s="18">
        <f t="shared" si="4"/>
        <v>40.397668359728414</v>
      </c>
      <c r="P33" s="21">
        <f t="shared" si="5"/>
        <v>1662.3044112883122</v>
      </c>
      <c r="Q33" s="21">
        <f t="shared" si="6"/>
        <v>1804.8821202050915</v>
      </c>
      <c r="R33" s="66"/>
      <c r="V33" s="1"/>
      <c r="Y33" s="1"/>
    </row>
    <row r="34" spans="2:28" x14ac:dyDescent="0.3">
      <c r="B34" s="13" t="s">
        <v>52</v>
      </c>
      <c r="C34" s="54">
        <f>'[3]Shipments &amp; Prices'!$O$62*1000</f>
        <v>1014.1200000000001</v>
      </c>
      <c r="D34" s="55">
        <f t="shared" si="0"/>
        <v>323.3149331466999</v>
      </c>
      <c r="E34" s="56">
        <f>'[3]Shipments &amp; Prices'!$O$276</f>
        <v>327.88014000273137</v>
      </c>
      <c r="F34" s="54">
        <f>'[4]Shipments &amp; Prices'!$O$62*1000</f>
        <v>2599.1210000000001</v>
      </c>
      <c r="G34" s="55">
        <f t="shared" si="1"/>
        <v>562.09664698283348</v>
      </c>
      <c r="H34" s="56">
        <f>'[4]Shipments &amp; Prices'!$O$276</f>
        <v>1460.9571992026692</v>
      </c>
      <c r="I34" s="18">
        <f t="shared" si="2"/>
        <v>518.1565530786412</v>
      </c>
      <c r="J34" s="18">
        <f t="shared" si="3"/>
        <v>996.48375700097495</v>
      </c>
      <c r="K34" s="18">
        <f>G34-D34</f>
        <v>238.78171383613358</v>
      </c>
      <c r="L34" s="57"/>
      <c r="M34" s="19">
        <f>K34*F34/1000</f>
        <v>620.62256684748536</v>
      </c>
      <c r="O34" s="18">
        <f t="shared" si="4"/>
        <v>238.78171383613358</v>
      </c>
      <c r="P34" s="19">
        <f t="shared" si="5"/>
        <v>620.62256684748536</v>
      </c>
      <c r="Q34" s="19">
        <f t="shared" si="6"/>
        <v>0</v>
      </c>
      <c r="R34" s="66"/>
      <c r="V34" s="1"/>
      <c r="Y34" s="1"/>
    </row>
    <row r="35" spans="2:28" x14ac:dyDescent="0.3">
      <c r="B35" s="13" t="s">
        <v>53</v>
      </c>
      <c r="C35" s="54">
        <f>'[3]Shipments &amp; Prices'!$O$64*1000</f>
        <v>463694.02845894557</v>
      </c>
      <c r="D35" s="55">
        <f t="shared" si="0"/>
        <v>1045.098613309294</v>
      </c>
      <c r="E35" s="56">
        <f>'[3]Shipments &amp; Prices'!$O$278</f>
        <v>484605.98614224436</v>
      </c>
      <c r="F35" s="54">
        <f>'[4]Shipments &amp; Prices'!$O$64*1000</f>
        <v>463787.28951984947</v>
      </c>
      <c r="G35" s="55">
        <f t="shared" si="1"/>
        <v>1098.8490261551694</v>
      </c>
      <c r="H35" s="56">
        <f>'[4]Shipments &amp; Prices'!$O$278</f>
        <v>509632.21143203217</v>
      </c>
      <c r="I35" s="18">
        <f t="shared" si="2"/>
        <v>8525.0977891471794</v>
      </c>
      <c r="J35" s="18">
        <f t="shared" si="3"/>
        <v>455630.07097551273</v>
      </c>
      <c r="K35" s="57"/>
      <c r="L35" s="18">
        <f>(G35*$H$116)-(D35*$E$116)</f>
        <v>44.345683631760039</v>
      </c>
      <c r="M35" s="21">
        <f>L35*F35/1000/$E$116</f>
        <v>3808.6971136071747</v>
      </c>
      <c r="O35" s="18">
        <f t="shared" si="4"/>
        <v>53.750412845875417</v>
      </c>
      <c r="P35" s="21">
        <f t="shared" si="5"/>
        <v>24928.758284361458</v>
      </c>
      <c r="Q35" s="21">
        <f t="shared" si="6"/>
        <v>21120.061170754285</v>
      </c>
      <c r="R35" s="66"/>
      <c r="V35" s="1"/>
      <c r="Y35" s="1"/>
    </row>
    <row r="36" spans="2:28" x14ac:dyDescent="0.3">
      <c r="B36" s="13" t="s">
        <v>54</v>
      </c>
      <c r="C36" s="54">
        <f>('[3]Shipments &amp; Prices'!$O$65)*1000</f>
        <v>416584.70999999996</v>
      </c>
      <c r="D36" s="55">
        <f t="shared" si="0"/>
        <v>848.78295422451879</v>
      </c>
      <c r="E36" s="56">
        <f>'[3]Shipments &amp; Prices'!$O$279</f>
        <v>353590.00083856442</v>
      </c>
      <c r="F36" s="54">
        <f>('[4]Shipments &amp; Prices'!$O$65)*1000</f>
        <v>438619.17</v>
      </c>
      <c r="G36" s="55">
        <f t="shared" si="1"/>
        <v>912.55185611988099</v>
      </c>
      <c r="H36" s="56">
        <f>'[4]Shipments &amp; Prices'!$O$279</f>
        <v>400262.73771326162</v>
      </c>
      <c r="I36" s="18">
        <f t="shared" si="2"/>
        <v>24851.646909628525</v>
      </c>
      <c r="J36" s="18">
        <f t="shared" si="3"/>
        <v>409340.01590537757</v>
      </c>
      <c r="K36" s="57"/>
      <c r="L36" s="18">
        <f>(G36*$H$116)-(D36*$E$116)</f>
        <v>140.13614120186503</v>
      </c>
      <c r="M36" s="21">
        <f>L36*F36/1000/$E$116</f>
        <v>11382.666285363859</v>
      </c>
      <c r="O36" s="18">
        <f t="shared" si="4"/>
        <v>63.768901895362205</v>
      </c>
      <c r="P36" s="21">
        <f t="shared" si="5"/>
        <v>27970.262821155196</v>
      </c>
      <c r="Q36" s="21">
        <f t="shared" si="6"/>
        <v>16587.596535791337</v>
      </c>
      <c r="R36" s="66"/>
      <c r="V36" s="1"/>
      <c r="Y36" s="1"/>
    </row>
    <row r="37" spans="2:28" x14ac:dyDescent="0.3">
      <c r="B37" s="13" t="s">
        <v>55</v>
      </c>
      <c r="C37" s="54">
        <f>+'[3]Shipments &amp; Prices'!$O$66*1000</f>
        <v>83539.329999999987</v>
      </c>
      <c r="D37" s="55">
        <f t="shared" si="0"/>
        <v>880.30207472866596</v>
      </c>
      <c r="E37" s="56">
        <f>+'[3]Shipments &amp; Prices'!$O$280</f>
        <v>73539.845520442672</v>
      </c>
      <c r="F37" s="54">
        <f>+'[4]Shipments &amp; Prices'!$O$66*1000</f>
        <v>76159.621079999997</v>
      </c>
      <c r="G37" s="55">
        <f t="shared" si="1"/>
        <v>950.63960616797078</v>
      </c>
      <c r="H37" s="56">
        <f>+'[4]Shipments &amp; Prices'!$O$280</f>
        <v>72400.352189393088</v>
      </c>
      <c r="I37" s="18">
        <f t="shared" si="2"/>
        <v>-5217.4646740558155</v>
      </c>
      <c r="J37" s="18">
        <f t="shared" si="3"/>
        <v>82086.523701084909</v>
      </c>
      <c r="K37" s="57"/>
      <c r="L37" s="18">
        <f>(G37*$H$116)-(D37*$E$116)</f>
        <v>167.08325222868007</v>
      </c>
      <c r="M37" s="21">
        <f>L37*F37/1000/$E$116</f>
        <v>2356.4809589908032</v>
      </c>
      <c r="O37" s="18">
        <f t="shared" si="4"/>
        <v>70.337531439304826</v>
      </c>
      <c r="P37" s="21">
        <f t="shared" si="5"/>
        <v>5356.8797421200425</v>
      </c>
      <c r="Q37" s="21">
        <f t="shared" si="6"/>
        <v>3000.3987831292393</v>
      </c>
      <c r="R37" s="66"/>
      <c r="V37" s="1"/>
      <c r="Y37" s="1"/>
    </row>
    <row r="38" spans="2:28" x14ac:dyDescent="0.3">
      <c r="B38" s="13" t="s">
        <v>56</v>
      </c>
      <c r="C38" s="54">
        <f>'[3]Shipments &amp; Prices'!$O$74*1000</f>
        <v>0</v>
      </c>
      <c r="D38" s="55">
        <f t="shared" si="0"/>
        <v>0</v>
      </c>
      <c r="E38" s="56">
        <f>'[3]Shipments &amp; Prices'!$O$288</f>
        <v>0</v>
      </c>
      <c r="F38" s="54">
        <f>'[4]Shipments &amp; Prices'!$O$74*1000</f>
        <v>0</v>
      </c>
      <c r="G38" s="55">
        <f t="shared" si="1"/>
        <v>0</v>
      </c>
      <c r="H38" s="56">
        <f>'[4]Shipments &amp; Prices'!$O$288</f>
        <v>0</v>
      </c>
      <c r="I38" s="18">
        <f t="shared" si="2"/>
        <v>0</v>
      </c>
      <c r="J38" s="18">
        <f t="shared" si="3"/>
        <v>0</v>
      </c>
      <c r="K38" s="18">
        <f>G38-D38</f>
        <v>0</v>
      </c>
      <c r="L38" s="57"/>
      <c r="M38" s="19">
        <f>K38*F38/1000</f>
        <v>0</v>
      </c>
      <c r="O38" s="18">
        <f t="shared" si="4"/>
        <v>0</v>
      </c>
      <c r="P38" s="19">
        <f t="shared" si="5"/>
        <v>0</v>
      </c>
      <c r="Q38" s="19">
        <f t="shared" si="6"/>
        <v>0</v>
      </c>
      <c r="R38" s="66"/>
      <c r="V38" s="1"/>
      <c r="Y38" s="1"/>
    </row>
    <row r="39" spans="2:28" x14ac:dyDescent="0.3">
      <c r="B39" s="13" t="s">
        <v>57</v>
      </c>
      <c r="C39" s="54">
        <f>('[3]Shipments &amp; Prices'!$O$79)*1000</f>
        <v>181457.09000000003</v>
      </c>
      <c r="D39" s="55">
        <f t="shared" si="0"/>
        <v>973.02160893390283</v>
      </c>
      <c r="E39" s="56">
        <f>'[3]Shipments &amp; Prices'!$O$293</f>
        <v>176561.66966426402</v>
      </c>
      <c r="F39" s="54">
        <f>('[4]Shipments &amp; Prices'!$O$79)*1000</f>
        <v>136271.78900000008</v>
      </c>
      <c r="G39" s="55">
        <f t="shared" si="1"/>
        <v>1027.6409820521678</v>
      </c>
      <c r="H39" s="56">
        <f>'[4]Shipments &amp; Prices'!$O$293</f>
        <v>140038.47507396591</v>
      </c>
      <c r="I39" s="18">
        <f t="shared" si="2"/>
        <v>-40895.745633151986</v>
      </c>
      <c r="J39" s="18">
        <f t="shared" si="3"/>
        <v>178301.42663359761</v>
      </c>
      <c r="K39" s="57"/>
      <c r="L39" s="18">
        <f>(G39*$H$116)-(D39*$E$116)</f>
        <v>64.97340119760338</v>
      </c>
      <c r="M39" s="21">
        <f>L39*F39/1000/$E$116</f>
        <v>1639.6373367800295</v>
      </c>
      <c r="O39" s="18">
        <f t="shared" si="4"/>
        <v>54.619373118265003</v>
      </c>
      <c r="P39" s="21">
        <f t="shared" si="5"/>
        <v>7443.0796888844843</v>
      </c>
      <c r="Q39" s="21">
        <f t="shared" si="6"/>
        <v>5803.4423521044546</v>
      </c>
      <c r="R39" s="66"/>
      <c r="V39" s="1"/>
      <c r="Y39" s="1"/>
    </row>
    <row r="40" spans="2:28" x14ac:dyDescent="0.3">
      <c r="B40" s="13" t="s">
        <v>58</v>
      </c>
      <c r="C40" s="54">
        <f>+'[3]Shipments &amp; Prices'!$O$80*1000</f>
        <v>106335.88</v>
      </c>
      <c r="D40" s="55">
        <f t="shared" si="0"/>
        <v>1088.1106443153853</v>
      </c>
      <c r="E40" s="56">
        <f>+'[3]Shipments &amp; Prices'!$O$294</f>
        <v>115705.20290064352</v>
      </c>
      <c r="F40" s="54">
        <f>+'[4]Shipments &amp; Prices'!$O$80*1000</f>
        <v>88523.367000000013</v>
      </c>
      <c r="G40" s="55">
        <f t="shared" si="1"/>
        <v>1184.3832810817546</v>
      </c>
      <c r="H40" s="56">
        <f>+'[4]Shipments &amp; Prices'!$O$294</f>
        <v>104845.59585986432</v>
      </c>
      <c r="I40" s="18">
        <f t="shared" si="2"/>
        <v>-17369.7920865981</v>
      </c>
      <c r="J40" s="18">
        <f t="shared" si="3"/>
        <v>104486.62604662645</v>
      </c>
      <c r="K40" s="57"/>
      <c r="L40" s="18">
        <f>(G40*$H$116)-(D40*$E$116)</f>
        <v>254.8243615818028</v>
      </c>
      <c r="M40" s="21">
        <f>L40*F40/1000/$E$116</f>
        <v>4177.3908297864136</v>
      </c>
      <c r="O40" s="18">
        <f t="shared" si="4"/>
        <v>96.27263676636926</v>
      </c>
      <c r="P40" s="21">
        <f t="shared" si="5"/>
        <v>8522.3779565269997</v>
      </c>
      <c r="Q40" s="21">
        <f t="shared" si="6"/>
        <v>4344.9871267405861</v>
      </c>
      <c r="R40" s="66"/>
      <c r="V40" s="1"/>
      <c r="Y40" s="1"/>
    </row>
    <row r="41" spans="2:28" x14ac:dyDescent="0.3">
      <c r="B41" s="13" t="s">
        <v>59</v>
      </c>
      <c r="C41" s="54">
        <f>'[3]Shipments &amp; Prices'!$O$90*1000</f>
        <v>94231.594684142721</v>
      </c>
      <c r="D41" s="55">
        <f t="shared" si="0"/>
        <v>1291.3710733114247</v>
      </c>
      <c r="E41" s="56">
        <f>'[3]Shipments &amp; Prices'!$O$304</f>
        <v>121687.95556710853</v>
      </c>
      <c r="F41" s="54">
        <f>'[4]Shipments &amp; Prices'!$O$90*1000</f>
        <v>99323.020800091981</v>
      </c>
      <c r="G41" s="55">
        <f t="shared" si="1"/>
        <v>1381.2513280098087</v>
      </c>
      <c r="H41" s="56">
        <f>'[4]Shipments &amp; Prices'!$O$304</f>
        <v>137190.05438207291</v>
      </c>
      <c r="I41" s="18">
        <f t="shared" si="2"/>
        <v>8691.1574948101152</v>
      </c>
      <c r="J41" s="18">
        <f t="shared" si="3"/>
        <v>92592.842562071179</v>
      </c>
      <c r="K41" s="57"/>
      <c r="L41" s="18">
        <f>(G41*$H$116)-(D41*$E$116)</f>
        <v>176.2492720964492</v>
      </c>
      <c r="M41" s="21">
        <f>L41*F41/1000/$E$116</f>
        <v>3241.7796515623504</v>
      </c>
      <c r="O41" s="18">
        <f t="shared" si="4"/>
        <v>89.880254698384078</v>
      </c>
      <c r="P41" s="21">
        <f t="shared" si="5"/>
        <v>8927.1784069251662</v>
      </c>
      <c r="Q41" s="21">
        <f t="shared" si="6"/>
        <v>5685.3987553628158</v>
      </c>
      <c r="R41" s="66"/>
      <c r="V41" s="1"/>
      <c r="Y41" s="1"/>
    </row>
    <row r="42" spans="2:28" x14ac:dyDescent="0.3">
      <c r="B42" s="25" t="s">
        <v>60</v>
      </c>
      <c r="C42" s="54">
        <f>'[3]Shipments &amp; Prices'!$O$91*1000</f>
        <v>7737.5399999999991</v>
      </c>
      <c r="D42" s="55">
        <f t="shared" si="0"/>
        <v>848.71896027417995</v>
      </c>
      <c r="E42" s="56">
        <f>'[3]Shipments &amp; Prices'!$O$305</f>
        <v>6566.9969038798772</v>
      </c>
      <c r="F42" s="54">
        <f>'[4]Shipments &amp; Prices'!$O$91*1000</f>
        <v>7661.2250000000004</v>
      </c>
      <c r="G42" s="55">
        <f t="shared" si="1"/>
        <v>819.85821665871219</v>
      </c>
      <c r="H42" s="56">
        <f>'[4]Shipments &amp; Prices'!$O$305</f>
        <v>6281.1182659211427</v>
      </c>
      <c r="I42" s="67">
        <f t="shared" si="2"/>
        <v>49.434596985078954</v>
      </c>
      <c r="J42" s="67">
        <f t="shared" si="3"/>
        <v>7602.9788675357167</v>
      </c>
      <c r="K42" s="68"/>
      <c r="L42" s="67">
        <f>(G42*$H$116)-(D42*$E$116)</f>
        <v>-339.32044645174392</v>
      </c>
      <c r="M42" s="67">
        <f>L42*F42/1000/$E$116</f>
        <v>-481.40931247541886</v>
      </c>
      <c r="N42" s="69"/>
      <c r="O42" s="67">
        <f t="shared" si="4"/>
        <v>-28.860743615467754</v>
      </c>
      <c r="P42" s="67">
        <f t="shared" si="5"/>
        <v>-221.10865050541196</v>
      </c>
      <c r="Q42" s="67">
        <f t="shared" si="6"/>
        <v>260.3006619700069</v>
      </c>
      <c r="R42" s="66"/>
      <c r="V42" s="1"/>
      <c r="Y42" s="1"/>
    </row>
    <row r="43" spans="2:28" x14ac:dyDescent="0.3">
      <c r="B43" s="70" t="s">
        <v>61</v>
      </c>
      <c r="C43" s="54">
        <f>'[3]Shipments &amp; Prices'!$O$107*1000</f>
        <v>3816.3261818387646</v>
      </c>
      <c r="D43" s="55">
        <f t="shared" si="0"/>
        <v>1872.4826654238002</v>
      </c>
      <c r="E43" s="56">
        <f>'[3]Shipments &amp; Prices'!$O$321</f>
        <v>7146.0046210960845</v>
      </c>
      <c r="F43" s="54">
        <f>'[4]Shipments &amp; Prices'!$O$107*1000+'[4]Shipments &amp; Prices'!$O$105*1000</f>
        <v>3627.2928948158055</v>
      </c>
      <c r="G43" s="55">
        <f t="shared" si="1"/>
        <v>1950.7789811814962</v>
      </c>
      <c r="H43" s="56">
        <f>'[4]Shipments &amp; Prices'!$O$321+'[4]Shipments &amp; Prices'!$O$319</f>
        <v>7076.0467377956575</v>
      </c>
      <c r="I43" s="18">
        <f t="shared" si="2"/>
        <v>-229.68762700576013</v>
      </c>
      <c r="J43" s="18">
        <f t="shared" si="3"/>
        <v>3749.9576496074205</v>
      </c>
      <c r="K43" s="57"/>
      <c r="L43" s="18">
        <f>(G43*$H$116)-(D43*$E$116)</f>
        <v>-13.756063534403438</v>
      </c>
      <c r="M43" s="21">
        <f>L43*F43/1000/$E$116</f>
        <v>-9.2402354664771078</v>
      </c>
      <c r="O43" s="18">
        <f t="shared" si="4"/>
        <v>78.296315757695993</v>
      </c>
      <c r="P43" s="21">
        <f t="shared" si="5"/>
        <v>284.00366983814547</v>
      </c>
      <c r="Q43" s="21">
        <f t="shared" si="6"/>
        <v>293.24390530462256</v>
      </c>
      <c r="V43" s="1"/>
      <c r="Y43" s="1"/>
    </row>
    <row r="44" spans="2:28" x14ac:dyDescent="0.3">
      <c r="B44" s="13" t="s">
        <v>62</v>
      </c>
      <c r="C44" s="54">
        <f>'[3]Shipments &amp; Prices'!$O$95*1000</f>
        <v>0</v>
      </c>
      <c r="D44" s="64">
        <f>G44</f>
        <v>481.23641067916822</v>
      </c>
      <c r="E44" s="56">
        <f>'[3]Shipments &amp; Prices'!$O$309</f>
        <v>0</v>
      </c>
      <c r="F44" s="54">
        <f>'[4]Shipments &amp; Prices'!$O$95*1000</f>
        <v>10000</v>
      </c>
      <c r="G44" s="55">
        <f t="shared" si="1"/>
        <v>481.23641067916822</v>
      </c>
      <c r="H44" s="56">
        <f>'[4]Shipments &amp; Prices'!$O$309</f>
        <v>4812.3641067916824</v>
      </c>
      <c r="I44" s="18">
        <f t="shared" si="2"/>
        <v>4812.3641067916824</v>
      </c>
      <c r="J44" s="18">
        <f t="shared" si="3"/>
        <v>0</v>
      </c>
      <c r="K44" s="18">
        <f>G44-D44</f>
        <v>0</v>
      </c>
      <c r="L44" s="57"/>
      <c r="M44" s="19">
        <f>K44*F44/1000</f>
        <v>0</v>
      </c>
      <c r="O44" s="18">
        <f t="shared" si="4"/>
        <v>0</v>
      </c>
      <c r="P44" s="19">
        <f t="shared" si="5"/>
        <v>0</v>
      </c>
      <c r="Q44" s="19">
        <f t="shared" si="6"/>
        <v>0</v>
      </c>
      <c r="V44" s="1"/>
      <c r="Y44" s="1"/>
    </row>
    <row r="45" spans="2:28" x14ac:dyDescent="0.3">
      <c r="B45" s="13" t="s">
        <v>63</v>
      </c>
      <c r="C45" s="54">
        <f>'[3]Shipments &amp; Prices'!$O$98*1000</f>
        <v>35399.969999999994</v>
      </c>
      <c r="D45" s="55">
        <f t="shared" si="0"/>
        <v>948.71897268627947</v>
      </c>
      <c r="E45" s="56">
        <f>'[3]Shipments &amp; Prices'!$O$312</f>
        <v>33584.623171525105</v>
      </c>
      <c r="F45" s="54">
        <f>('[4]Shipments &amp; Prices'!$O$98)*1000</f>
        <v>17169.268000000007</v>
      </c>
      <c r="G45" s="55">
        <f t="shared" si="1"/>
        <v>1006.9799835837825</v>
      </c>
      <c r="H45" s="56">
        <f>'[4]Shipments &amp; Prices'!$O$312</f>
        <v>17289.109208785569</v>
      </c>
      <c r="I45" s="18">
        <f t="shared" si="2"/>
        <v>-16711.753219806105</v>
      </c>
      <c r="J45" s="18">
        <f t="shared" si="3"/>
        <v>34784.340219423531</v>
      </c>
      <c r="K45" s="57"/>
      <c r="L45" s="18">
        <f>(G45*$H$116)-(D45*$E$116)</f>
        <v>89.261878337871167</v>
      </c>
      <c r="M45" s="21">
        <f>L45*F45/1000/$E$116</f>
        <v>283.80761321598243</v>
      </c>
      <c r="O45" s="18">
        <f t="shared" si="4"/>
        <v>58.26101089750307</v>
      </c>
      <c r="P45" s="21">
        <f t="shared" si="5"/>
        <v>1000.2989100501512</v>
      </c>
      <c r="Q45" s="21">
        <f t="shared" si="6"/>
        <v>716.49129683416879</v>
      </c>
      <c r="V45" s="1"/>
      <c r="Y45" s="1"/>
    </row>
    <row r="46" spans="2:28" x14ac:dyDescent="0.3">
      <c r="B46" s="13" t="s">
        <v>64</v>
      </c>
      <c r="C46" s="54">
        <f>'[3]Shipments &amp; Prices'!$O$97*1000</f>
        <v>0</v>
      </c>
      <c r="D46" s="64">
        <f>G46</f>
        <v>1007.5182528038496</v>
      </c>
      <c r="E46" s="56">
        <f>'[3]Shipments &amp; Prices'!$O$311</f>
        <v>0</v>
      </c>
      <c r="F46" s="54">
        <f>'[4]Shipments &amp; Prices'!$O$97*1000</f>
        <v>7002.88</v>
      </c>
      <c r="G46" s="55">
        <f t="shared" si="1"/>
        <v>1007.5182528038496</v>
      </c>
      <c r="H46" s="56">
        <f>'[4]Shipments &amp; Prices'!$O$311</f>
        <v>7055.5294221950217</v>
      </c>
      <c r="I46" s="18">
        <f t="shared" si="2"/>
        <v>7055.5294221950217</v>
      </c>
      <c r="J46" s="18">
        <f t="shared" si="3"/>
        <v>0</v>
      </c>
      <c r="K46" s="57"/>
      <c r="L46" s="18">
        <f>(G46*$H$116)-(D46*$E$116)</f>
        <v>-225.46803738800918</v>
      </c>
      <c r="M46" s="21">
        <f>L46*F46/1000/$E$116</f>
        <v>-292.39363141921137</v>
      </c>
      <c r="O46" s="18">
        <f t="shared" si="4"/>
        <v>0</v>
      </c>
      <c r="P46" s="21">
        <f t="shared" si="5"/>
        <v>0</v>
      </c>
      <c r="Q46" s="21">
        <f t="shared" si="6"/>
        <v>292.39363141921137</v>
      </c>
      <c r="V46" s="1"/>
      <c r="Y46" s="1"/>
    </row>
    <row r="47" spans="2:28" ht="14.4" thickBot="1" x14ac:dyDescent="0.35">
      <c r="B47" s="71" t="s">
        <v>65</v>
      </c>
      <c r="C47" s="54"/>
      <c r="D47" s="55"/>
      <c r="E47" s="56"/>
      <c r="F47" s="54"/>
      <c r="G47" s="55"/>
      <c r="H47" s="56"/>
      <c r="I47" s="18">
        <f t="shared" si="2"/>
        <v>0</v>
      </c>
      <c r="J47" s="18">
        <f t="shared" si="3"/>
        <v>0</v>
      </c>
      <c r="K47" s="57"/>
      <c r="L47" s="18">
        <f>(G47*$H$116)-(D47*$E$116)</f>
        <v>0</v>
      </c>
      <c r="M47" s="21">
        <f>L47*F47/1000/$E$116</f>
        <v>0</v>
      </c>
      <c r="O47" s="18">
        <f t="shared" si="4"/>
        <v>0</v>
      </c>
      <c r="P47" s="21">
        <f t="shared" si="5"/>
        <v>0</v>
      </c>
      <c r="Q47" s="21">
        <f t="shared" si="6"/>
        <v>0</v>
      </c>
      <c r="T47" s="62"/>
      <c r="U47" s="60"/>
      <c r="V47" s="61"/>
      <c r="W47" s="60"/>
      <c r="X47" s="60"/>
      <c r="Y47" s="61"/>
      <c r="Z47" s="60"/>
      <c r="AA47" s="7"/>
      <c r="AB47" s="7"/>
    </row>
    <row r="48" spans="2:28" ht="14.4" thickBot="1" x14ac:dyDescent="0.35">
      <c r="B48" s="72" t="s">
        <v>66</v>
      </c>
      <c r="C48" s="73">
        <f>SUM(C17:C47)</f>
        <v>7232333.7353226142</v>
      </c>
      <c r="D48" s="74">
        <f>+E48/C48*1000</f>
        <v>661.80343378227985</v>
      </c>
      <c r="E48" s="73">
        <f>SUM(E17:E47)</f>
        <v>4786383.3002959285</v>
      </c>
      <c r="F48" s="73">
        <f>SUM(F17:F47)</f>
        <v>7106558.4866279848</v>
      </c>
      <c r="G48" s="74">
        <f>+H48/F48*1000</f>
        <v>723.42880683438705</v>
      </c>
      <c r="H48" s="73">
        <f>SUM(H17:H47)</f>
        <v>5141089.1266800705</v>
      </c>
      <c r="I48" s="73">
        <f>SUM(I17:I47)</f>
        <v>7994.4599377446002</v>
      </c>
      <c r="J48" s="73">
        <f>SUM(J17:J47)</f>
        <v>7106558.4866279839</v>
      </c>
      <c r="K48" s="75"/>
      <c r="L48" s="75"/>
      <c r="M48" s="73">
        <f>SUM(M17:M47)</f>
        <v>286548.94369344617</v>
      </c>
      <c r="O48" s="75"/>
      <c r="P48" s="73">
        <f>SUM(P17:P47)</f>
        <v>429949.8579173219</v>
      </c>
      <c r="Q48" s="73">
        <f>SUM(Q17:Q47)</f>
        <v>143400.91422387576</v>
      </c>
      <c r="T48" s="62"/>
      <c r="U48" s="60"/>
      <c r="V48" s="61"/>
      <c r="W48" s="60"/>
      <c r="X48" s="60"/>
      <c r="Y48" s="61"/>
      <c r="Z48" s="60"/>
      <c r="AA48" s="7"/>
      <c r="AB48" s="7"/>
    </row>
    <row r="49" spans="1:13" x14ac:dyDescent="0.3">
      <c r="B49" s="76" t="s">
        <v>67</v>
      </c>
      <c r="C49" s="77" t="s">
        <v>28</v>
      </c>
      <c r="D49" s="6" t="s">
        <v>29</v>
      </c>
      <c r="E49" s="78" t="s">
        <v>30</v>
      </c>
      <c r="F49" s="77" t="s">
        <v>28</v>
      </c>
      <c r="G49" s="6" t="s">
        <v>29</v>
      </c>
      <c r="H49" s="78" t="s">
        <v>30</v>
      </c>
      <c r="I49" s="16" t="s">
        <v>68</v>
      </c>
      <c r="J49" s="29"/>
    </row>
    <row r="50" spans="1:13" x14ac:dyDescent="0.3">
      <c r="A50" s="12">
        <v>30</v>
      </c>
      <c r="B50" s="13" t="s">
        <v>35</v>
      </c>
      <c r="C50" s="79">
        <f t="shared" ref="C50:C80" si="7">C17</f>
        <v>961000</v>
      </c>
      <c r="D50" s="55">
        <f>'[6]Mensal MRF USD2'!$T$259+A50</f>
        <v>437.37404902764735</v>
      </c>
      <c r="E50" s="80">
        <f t="shared" ref="E50:E76" si="8">D50*C50/1000</f>
        <v>420316.46111556911</v>
      </c>
      <c r="F50" s="79">
        <f t="shared" ref="F50:F80" si="9">F17</f>
        <v>966247.86999999988</v>
      </c>
      <c r="G50" s="81"/>
      <c r="H50" s="82"/>
      <c r="I50" s="18">
        <f t="shared" ref="I50:I80" si="10">(J17-F50)*D50/1000</f>
        <v>-9604.8739590607456</v>
      </c>
      <c r="J50" s="29"/>
      <c r="L50" s="3"/>
    </row>
    <row r="51" spans="1:13" x14ac:dyDescent="0.3">
      <c r="A51" s="83">
        <v>9</v>
      </c>
      <c r="B51" s="13" t="s">
        <v>36</v>
      </c>
      <c r="C51" s="79">
        <f t="shared" si="7"/>
        <v>400000</v>
      </c>
      <c r="D51" s="55">
        <f>'[6]Mensal MRF USD2'!$T$259+A51</f>
        <v>416.37404902764735</v>
      </c>
      <c r="E51" s="80">
        <f t="shared" si="8"/>
        <v>166549.61961105894</v>
      </c>
      <c r="F51" s="79">
        <f t="shared" si="9"/>
        <v>997327.08221481298</v>
      </c>
      <c r="G51" s="81"/>
      <c r="H51" s="82"/>
      <c r="I51" s="18">
        <f t="shared" si="10"/>
        <v>-251607.90803792939</v>
      </c>
      <c r="J51" s="29"/>
    </row>
    <row r="52" spans="1:13" x14ac:dyDescent="0.3">
      <c r="A52" s="83">
        <v>9</v>
      </c>
      <c r="B52" s="13" t="s">
        <v>37</v>
      </c>
      <c r="C52" s="79">
        <f t="shared" si="7"/>
        <v>1423164.3800000001</v>
      </c>
      <c r="D52" s="55">
        <f>'[6]Mensal MRF USD2'!$T$259+A52</f>
        <v>416.37404902764735</v>
      </c>
      <c r="E52" s="80">
        <f t="shared" si="8"/>
        <v>592568.71533252147</v>
      </c>
      <c r="F52" s="79">
        <f t="shared" si="9"/>
        <v>874385.0420000006</v>
      </c>
      <c r="G52" s="81"/>
      <c r="H52" s="82"/>
      <c r="I52" s="18">
        <f t="shared" si="10"/>
        <v>218192.29822441732</v>
      </c>
      <c r="J52" s="29"/>
    </row>
    <row r="53" spans="1:13" x14ac:dyDescent="0.3">
      <c r="A53" s="12">
        <v>43</v>
      </c>
      <c r="B53" s="13" t="s">
        <v>38</v>
      </c>
      <c r="C53" s="79">
        <f t="shared" si="7"/>
        <v>31000.000000000004</v>
      </c>
      <c r="D53" s="84">
        <f>'[6]Mensal MRF USD2'!$T$259+A53</f>
        <v>450.37404902764735</v>
      </c>
      <c r="E53" s="80">
        <f t="shared" si="8"/>
        <v>13961.59551985707</v>
      </c>
      <c r="F53" s="79">
        <f t="shared" si="9"/>
        <v>32424.16</v>
      </c>
      <c r="G53" s="81"/>
      <c r="H53" s="82"/>
      <c r="I53" s="18">
        <f t="shared" si="10"/>
        <v>-884.20643646657027</v>
      </c>
      <c r="J53" s="29"/>
      <c r="M53" s="20"/>
    </row>
    <row r="54" spans="1:13" x14ac:dyDescent="0.3">
      <c r="B54" s="13" t="s">
        <v>39</v>
      </c>
      <c r="C54" s="79">
        <f t="shared" si="7"/>
        <v>18000</v>
      </c>
      <c r="D54" s="55">
        <f>$D$51+A54</f>
        <v>416.37404902764735</v>
      </c>
      <c r="E54" s="80">
        <f t="shared" si="8"/>
        <v>7494.7328824976521</v>
      </c>
      <c r="F54" s="79">
        <f t="shared" si="9"/>
        <v>16529.159999999996</v>
      </c>
      <c r="G54" s="81"/>
      <c r="H54" s="82"/>
      <c r="I54" s="18">
        <f t="shared" si="10"/>
        <v>482.0810562693473</v>
      </c>
      <c r="L54" s="20"/>
      <c r="M54" s="20"/>
    </row>
    <row r="55" spans="1:13" x14ac:dyDescent="0.3">
      <c r="A55" s="83">
        <v>9</v>
      </c>
      <c r="B55" s="13" t="s">
        <v>40</v>
      </c>
      <c r="C55" s="79">
        <f t="shared" si="7"/>
        <v>433467</v>
      </c>
      <c r="D55" s="55">
        <f>$D$56+A55</f>
        <v>446.21225084963947</v>
      </c>
      <c r="E55" s="80">
        <f t="shared" si="8"/>
        <v>193418.28573904067</v>
      </c>
      <c r="F55" s="79">
        <f t="shared" si="9"/>
        <v>197566.82000000007</v>
      </c>
      <c r="G55" s="81"/>
      <c r="H55" s="82"/>
      <c r="I55" s="18">
        <f t="shared" si="10"/>
        <v>101897.87352190333</v>
      </c>
      <c r="L55" s="58"/>
      <c r="M55" s="20"/>
    </row>
    <row r="56" spans="1:13" x14ac:dyDescent="0.3">
      <c r="B56" s="13" t="s">
        <v>41</v>
      </c>
      <c r="C56" s="79">
        <f t="shared" si="7"/>
        <v>85817.96</v>
      </c>
      <c r="D56" s="84">
        <f>'[6]Mensal MRF USD2'!$T$279</f>
        <v>437.21225084963947</v>
      </c>
      <c r="E56" s="80">
        <f t="shared" si="8"/>
        <v>37520.663454924332</v>
      </c>
      <c r="F56" s="79">
        <f t="shared" si="9"/>
        <v>100236.84017419748</v>
      </c>
      <c r="G56" s="81"/>
      <c r="H56" s="82"/>
      <c r="I56" s="18">
        <f t="shared" si="10"/>
        <v>-6956.6211513175831</v>
      </c>
      <c r="L56" s="58"/>
      <c r="M56" s="20"/>
    </row>
    <row r="57" spans="1:13" x14ac:dyDescent="0.3">
      <c r="B57" s="13" t="s">
        <v>42</v>
      </c>
      <c r="C57" s="79">
        <f t="shared" si="7"/>
        <v>1438681.32</v>
      </c>
      <c r="D57" s="85">
        <f>D56</f>
        <v>437.21225084963947</v>
      </c>
      <c r="E57" s="80">
        <f t="shared" si="8"/>
        <v>629009.09817253042</v>
      </c>
      <c r="F57" s="79">
        <f t="shared" si="9"/>
        <v>1441770.7359999982</v>
      </c>
      <c r="G57" s="81"/>
      <c r="H57" s="82"/>
      <c r="I57" s="18">
        <f t="shared" si="10"/>
        <v>-12289.630558637718</v>
      </c>
      <c r="M57" s="58"/>
    </row>
    <row r="58" spans="1:13" x14ac:dyDescent="0.3">
      <c r="A58" s="12">
        <v>80</v>
      </c>
      <c r="B58" s="13" t="s">
        <v>43</v>
      </c>
      <c r="C58" s="79">
        <f t="shared" si="7"/>
        <v>427373.81000000006</v>
      </c>
      <c r="D58" s="85">
        <f>D57+A58</f>
        <v>517.21225084963953</v>
      </c>
      <c r="E58" s="80">
        <f>D58*C58/1000</f>
        <v>221042.9702242862</v>
      </c>
      <c r="F58" s="79">
        <f t="shared" si="9"/>
        <v>446359.43442400004</v>
      </c>
      <c r="G58" s="81"/>
      <c r="H58" s="82"/>
      <c r="I58" s="18">
        <f t="shared" si="10"/>
        <v>-13663.686541552806</v>
      </c>
      <c r="M58" s="58"/>
    </row>
    <row r="59" spans="1:13" x14ac:dyDescent="0.3">
      <c r="A59" s="12">
        <f>(195+170)/$E$116</f>
        <v>67.592592592592595</v>
      </c>
      <c r="B59" s="13" t="s">
        <v>44</v>
      </c>
      <c r="C59" s="79">
        <f t="shared" si="7"/>
        <v>102999.19000000002</v>
      </c>
      <c r="D59" s="55">
        <f>D58</f>
        <v>517.21225084963953</v>
      </c>
      <c r="E59" s="80">
        <f>D59*C59/1000</f>
        <v>53272.442895589695</v>
      </c>
      <c r="F59" s="79">
        <f t="shared" si="9"/>
        <v>90523.857724700007</v>
      </c>
      <c r="G59" s="81"/>
      <c r="H59" s="82"/>
      <c r="I59" s="18">
        <f t="shared" si="10"/>
        <v>5525.9503324221678</v>
      </c>
      <c r="M59" s="58"/>
    </row>
    <row r="60" spans="1:13" x14ac:dyDescent="0.3">
      <c r="A60" s="12">
        <f>(40+50)/$E$116</f>
        <v>16.666666666666664</v>
      </c>
      <c r="B60" s="13" t="s">
        <v>45</v>
      </c>
      <c r="C60" s="79">
        <f t="shared" si="7"/>
        <v>0</v>
      </c>
      <c r="D60" s="55">
        <f>$D$56+A60</f>
        <v>453.87891751630616</v>
      </c>
      <c r="E60" s="80">
        <f t="shared" si="8"/>
        <v>0</v>
      </c>
      <c r="F60" s="79">
        <f t="shared" si="9"/>
        <v>45424.208000000021</v>
      </c>
      <c r="G60" s="81"/>
      <c r="H60" s="82"/>
      <c r="I60" s="18">
        <f t="shared" si="10"/>
        <v>-20617.090356075543</v>
      </c>
    </row>
    <row r="61" spans="1:13" x14ac:dyDescent="0.3">
      <c r="A61" s="12">
        <f>21*0</f>
        <v>0</v>
      </c>
      <c r="B61" s="13" t="s">
        <v>46</v>
      </c>
      <c r="C61" s="79">
        <f t="shared" si="7"/>
        <v>1220.3923579624538</v>
      </c>
      <c r="D61" s="55">
        <f>$D$63+A61</f>
        <v>494.72402405836459</v>
      </c>
      <c r="E61" s="80">
        <f t="shared" si="8"/>
        <v>603.75741826126136</v>
      </c>
      <c r="F61" s="79">
        <f t="shared" si="9"/>
        <v>1887.8105506815871</v>
      </c>
      <c r="G61" s="81"/>
      <c r="H61" s="82"/>
      <c r="I61" s="18">
        <f t="shared" si="10"/>
        <v>-340.68757001816249</v>
      </c>
      <c r="M61" s="58"/>
    </row>
    <row r="62" spans="1:13" x14ac:dyDescent="0.3">
      <c r="A62" s="12">
        <f>21*0</f>
        <v>0</v>
      </c>
      <c r="B62" s="13" t="s">
        <v>47</v>
      </c>
      <c r="C62" s="79">
        <f t="shared" si="7"/>
        <v>492.26</v>
      </c>
      <c r="D62" s="55">
        <f>$D$63+A62</f>
        <v>494.72402405836459</v>
      </c>
      <c r="E62" s="80">
        <f t="shared" si="8"/>
        <v>243.53284808297053</v>
      </c>
      <c r="F62" s="79">
        <f t="shared" si="9"/>
        <v>4847.375</v>
      </c>
      <c r="G62" s="81"/>
      <c r="H62" s="82"/>
      <c r="I62" s="18">
        <f t="shared" si="10"/>
        <v>-2158.8152214517631</v>
      </c>
      <c r="M62" s="58"/>
    </row>
    <row r="63" spans="1:13" x14ac:dyDescent="0.3">
      <c r="B63" s="13" t="s">
        <v>48</v>
      </c>
      <c r="C63" s="79">
        <f t="shared" si="7"/>
        <v>90127.470395196156</v>
      </c>
      <c r="D63" s="84">
        <f>'[7]Mensal USD'!$R$21</f>
        <v>494.72402405836459</v>
      </c>
      <c r="E63" s="80">
        <f t="shared" si="8"/>
        <v>44588.224832112566</v>
      </c>
      <c r="F63" s="79">
        <f t="shared" si="9"/>
        <v>95622.293215625148</v>
      </c>
      <c r="G63" s="81"/>
      <c r="H63" s="82"/>
      <c r="I63" s="18">
        <f t="shared" si="10"/>
        <v>-3493.840697105355</v>
      </c>
      <c r="M63" s="58"/>
    </row>
    <row r="64" spans="1:13" x14ac:dyDescent="0.3">
      <c r="B64" s="13" t="s">
        <v>49</v>
      </c>
      <c r="C64" s="79">
        <f t="shared" si="7"/>
        <v>265325.53999999992</v>
      </c>
      <c r="D64" s="55">
        <f>D63</f>
        <v>494.72402405836459</v>
      </c>
      <c r="E64" s="80">
        <f>D64*C64/1000</f>
        <v>131262.91883425854</v>
      </c>
      <c r="F64" s="79">
        <f t="shared" si="9"/>
        <v>286122.31839448167</v>
      </c>
      <c r="G64" s="81"/>
      <c r="H64" s="82"/>
      <c r="I64" s="18">
        <f t="shared" si="10"/>
        <v>-12571.418166020288</v>
      </c>
      <c r="M64" s="58"/>
    </row>
    <row r="65" spans="1:25" x14ac:dyDescent="0.3">
      <c r="A65" s="12">
        <v>80</v>
      </c>
      <c r="B65" s="13" t="s">
        <v>50</v>
      </c>
      <c r="C65" s="79">
        <f t="shared" si="7"/>
        <v>110301.97000000002</v>
      </c>
      <c r="D65" s="55">
        <f>D64+A65</f>
        <v>574.72402405836465</v>
      </c>
      <c r="E65" s="80">
        <f>D65*C65/1000</f>
        <v>63393.192059965018</v>
      </c>
      <c r="F65" s="79">
        <f t="shared" si="9"/>
        <v>117390.91099999999</v>
      </c>
      <c r="G65" s="81"/>
      <c r="H65" s="82"/>
      <c r="I65" s="18">
        <f t="shared" si="10"/>
        <v>-5176.6358275343418</v>
      </c>
      <c r="M65" s="58"/>
    </row>
    <row r="66" spans="1:25" x14ac:dyDescent="0.3">
      <c r="A66" s="12">
        <f>21*0</f>
        <v>0</v>
      </c>
      <c r="B66" s="13" t="s">
        <v>51</v>
      </c>
      <c r="C66" s="79">
        <f t="shared" si="7"/>
        <v>49551.853244528029</v>
      </c>
      <c r="D66" s="55">
        <f>$D$68+A66</f>
        <v>572.56249932596791</v>
      </c>
      <c r="E66" s="80">
        <f t="shared" si="8"/>
        <v>28371.53293992054</v>
      </c>
      <c r="F66" s="79">
        <f t="shared" si="9"/>
        <v>41148.523634731071</v>
      </c>
      <c r="G66" s="81"/>
      <c r="H66" s="82"/>
      <c r="I66" s="18">
        <f t="shared" si="10"/>
        <v>4318.0309690047416</v>
      </c>
      <c r="M66" s="58"/>
    </row>
    <row r="67" spans="1:25" x14ac:dyDescent="0.3">
      <c r="A67" s="12">
        <f>21*0</f>
        <v>0</v>
      </c>
      <c r="B67" s="13" t="s">
        <v>52</v>
      </c>
      <c r="C67" s="79">
        <f t="shared" si="7"/>
        <v>1014.1200000000001</v>
      </c>
      <c r="D67" s="55">
        <f>$D$69+A67</f>
        <v>592.20465813842532</v>
      </c>
      <c r="E67" s="80">
        <f t="shared" si="8"/>
        <v>600.56658791133998</v>
      </c>
      <c r="F67" s="79">
        <f t="shared" si="9"/>
        <v>2599.1210000000001</v>
      </c>
      <c r="G67" s="81"/>
      <c r="H67" s="82"/>
      <c r="I67" s="18">
        <f t="shared" si="10"/>
        <v>-949.08924061014625</v>
      </c>
      <c r="M67" s="58"/>
    </row>
    <row r="68" spans="1:25" x14ac:dyDescent="0.3">
      <c r="B68" s="13" t="s">
        <v>53</v>
      </c>
      <c r="C68" s="79">
        <f t="shared" si="7"/>
        <v>463694.02845894557</v>
      </c>
      <c r="D68" s="84">
        <f>'[7]Mensal USD'!$R$31</f>
        <v>572.56249932596791</v>
      </c>
      <c r="E68" s="80">
        <f t="shared" si="8"/>
        <v>265493.81185698038</v>
      </c>
      <c r="F68" s="79">
        <f t="shared" si="9"/>
        <v>463787.28951984947</v>
      </c>
      <c r="G68" s="81"/>
      <c r="H68" s="82"/>
      <c r="I68" s="18">
        <f t="shared" si="10"/>
        <v>-4670.5174372935744</v>
      </c>
    </row>
    <row r="69" spans="1:25" x14ac:dyDescent="0.3">
      <c r="B69" s="13" t="s">
        <v>54</v>
      </c>
      <c r="C69" s="79">
        <f t="shared" si="7"/>
        <v>416584.70999999996</v>
      </c>
      <c r="D69" s="84">
        <f>'[7]Mensal USD'!$R$51</f>
        <v>592.20465813842532</v>
      </c>
      <c r="E69" s="80">
        <f t="shared" si="8"/>
        <v>246703.40577124504</v>
      </c>
      <c r="F69" s="79">
        <f t="shared" si="9"/>
        <v>438619.17</v>
      </c>
      <c r="G69" s="81"/>
      <c r="H69" s="82"/>
      <c r="I69" s="18">
        <f t="shared" si="10"/>
        <v>-17339.251441188142</v>
      </c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spans="1:25" x14ac:dyDescent="0.3">
      <c r="A70" s="12">
        <v>80</v>
      </c>
      <c r="B70" s="13" t="s">
        <v>55</v>
      </c>
      <c r="C70" s="79">
        <f t="shared" si="7"/>
        <v>83539.329999999987</v>
      </c>
      <c r="D70" s="55">
        <f>D69+A70</f>
        <v>672.20465813842532</v>
      </c>
      <c r="E70" s="80">
        <f>D70*C70/1000</f>
        <v>56155.52676376309</v>
      </c>
      <c r="F70" s="79">
        <f t="shared" si="9"/>
        <v>76159.621079999997</v>
      </c>
      <c r="G70" s="81"/>
      <c r="H70" s="82"/>
      <c r="I70" s="18">
        <f t="shared" si="10"/>
        <v>3984.09155022612</v>
      </c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spans="1:25" x14ac:dyDescent="0.3">
      <c r="A71" s="83">
        <f>21*0</f>
        <v>0</v>
      </c>
      <c r="B71" s="13" t="s">
        <v>56</v>
      </c>
      <c r="C71" s="79">
        <f t="shared" si="7"/>
        <v>0</v>
      </c>
      <c r="D71" s="55">
        <f>$D$72+A71</f>
        <v>663.85930953456682</v>
      </c>
      <c r="E71" s="80">
        <f t="shared" si="8"/>
        <v>0</v>
      </c>
      <c r="F71" s="79">
        <f t="shared" si="9"/>
        <v>0</v>
      </c>
      <c r="G71" s="81"/>
      <c r="H71" s="82"/>
      <c r="I71" s="18">
        <f t="shared" si="10"/>
        <v>0</v>
      </c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spans="1:25" x14ac:dyDescent="0.3">
      <c r="B72" s="13" t="s">
        <v>57</v>
      </c>
      <c r="C72" s="79">
        <f t="shared" si="7"/>
        <v>181457.09000000003</v>
      </c>
      <c r="D72" s="84">
        <f>'[7]Mensal USD'!$R$61</f>
        <v>663.85930953456682</v>
      </c>
      <c r="E72" s="80">
        <f t="shared" si="8"/>
        <v>120461.97847755178</v>
      </c>
      <c r="F72" s="79">
        <f t="shared" si="9"/>
        <v>136271.78900000008</v>
      </c>
      <c r="G72" s="81"/>
      <c r="H72" s="82"/>
      <c r="I72" s="18">
        <f t="shared" si="10"/>
        <v>27901.766219428107</v>
      </c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spans="1:25" x14ac:dyDescent="0.3">
      <c r="A73" s="86">
        <v>80</v>
      </c>
      <c r="B73" s="13" t="s">
        <v>58</v>
      </c>
      <c r="C73" s="79">
        <f t="shared" si="7"/>
        <v>106335.88</v>
      </c>
      <c r="D73" s="55">
        <f>D72+A73</f>
        <v>743.85930953456682</v>
      </c>
      <c r="E73" s="80">
        <f>D73*C73/1000</f>
        <v>79098.934275550564</v>
      </c>
      <c r="F73" s="79">
        <f t="shared" si="9"/>
        <v>88523.367000000013</v>
      </c>
      <c r="G73" s="81"/>
      <c r="H73" s="82"/>
      <c r="I73" s="18">
        <f t="shared" si="10"/>
        <v>11874.418852344968</v>
      </c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spans="1:25" x14ac:dyDescent="0.3">
      <c r="B74" s="13" t="s">
        <v>59</v>
      </c>
      <c r="C74" s="79">
        <f t="shared" si="7"/>
        <v>94231.594684142721</v>
      </c>
      <c r="D74" s="84">
        <f>'[7]Mensal USD'!$R$71</f>
        <v>572.84269131951839</v>
      </c>
      <c r="E74" s="80">
        <f t="shared" si="8"/>
        <v>53979.88030619434</v>
      </c>
      <c r="F74" s="79">
        <f t="shared" si="9"/>
        <v>99323.020800091981</v>
      </c>
      <c r="G74" s="81"/>
      <c r="H74" s="82"/>
      <c r="I74" s="18">
        <f t="shared" si="10"/>
        <v>-3855.3334149278903</v>
      </c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spans="1:25" x14ac:dyDescent="0.3">
      <c r="B75" s="25" t="s">
        <v>60</v>
      </c>
      <c r="C75" s="79">
        <f t="shared" si="7"/>
        <v>7737.5399999999991</v>
      </c>
      <c r="D75" s="55">
        <f>D74</f>
        <v>572.84269131951839</v>
      </c>
      <c r="E75" s="80">
        <f>D75*C75/1000</f>
        <v>4432.3932377924257</v>
      </c>
      <c r="F75" s="79">
        <f t="shared" si="9"/>
        <v>7661.2250000000004</v>
      </c>
      <c r="G75" s="81"/>
      <c r="H75" s="82"/>
      <c r="I75" s="18">
        <f t="shared" si="10"/>
        <v>-33.365871279793396</v>
      </c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spans="1:25" x14ac:dyDescent="0.3">
      <c r="B76" s="13" t="s">
        <v>61</v>
      </c>
      <c r="C76" s="79">
        <f t="shared" si="7"/>
        <v>3816.3261818387646</v>
      </c>
      <c r="D76" s="84">
        <f>D72</f>
        <v>663.85930953456682</v>
      </c>
      <c r="E76" s="80">
        <f t="shared" si="8"/>
        <v>2533.5036640341718</v>
      </c>
      <c r="F76" s="79">
        <f t="shared" si="9"/>
        <v>3627.2928948158055</v>
      </c>
      <c r="G76" s="81"/>
      <c r="H76" s="82"/>
      <c r="I76" s="18">
        <f t="shared" si="10"/>
        <v>81.432139420188477</v>
      </c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spans="1:25" x14ac:dyDescent="0.3">
      <c r="B77" s="13" t="str">
        <f>B44</f>
        <v>Magnelis DM Industry</v>
      </c>
      <c r="C77" s="79">
        <f t="shared" si="7"/>
        <v>0</v>
      </c>
      <c r="D77" s="84">
        <f>D71</f>
        <v>663.85930953456682</v>
      </c>
      <c r="E77" s="80">
        <f>D77*C77/1000</f>
        <v>0</v>
      </c>
      <c r="F77" s="79">
        <f t="shared" si="9"/>
        <v>10000</v>
      </c>
      <c r="G77" s="81"/>
      <c r="H77" s="82"/>
      <c r="I77" s="18">
        <f t="shared" si="10"/>
        <v>-6638.5930953456682</v>
      </c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spans="1:25" x14ac:dyDescent="0.3">
      <c r="B78" s="13" t="str">
        <f>B45</f>
        <v>Industry Imports</v>
      </c>
      <c r="C78" s="79">
        <f t="shared" si="7"/>
        <v>35399.969999999994</v>
      </c>
      <c r="D78" s="84">
        <f>D72</f>
        <v>663.85930953456682</v>
      </c>
      <c r="E78" s="80">
        <f t="shared" ref="E78:E80" si="11">D78*C78/1000</f>
        <v>23500.599641744375</v>
      </c>
      <c r="F78" s="79">
        <f t="shared" si="9"/>
        <v>17169.268000000007</v>
      </c>
      <c r="G78" s="81"/>
      <c r="H78" s="82"/>
      <c r="I78" s="18">
        <f t="shared" si="10"/>
        <v>11693.929680988031</v>
      </c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spans="1:25" x14ac:dyDescent="0.3">
      <c r="B79" s="13" t="str">
        <f>B46</f>
        <v>Magnelis DM Downstream</v>
      </c>
      <c r="C79" s="79">
        <f t="shared" si="7"/>
        <v>0</v>
      </c>
      <c r="D79" s="84">
        <f>D77</f>
        <v>663.85930953456682</v>
      </c>
      <c r="E79" s="80">
        <f t="shared" si="11"/>
        <v>0</v>
      </c>
      <c r="F79" s="79">
        <f t="shared" si="9"/>
        <v>7002.88</v>
      </c>
      <c r="G79" s="81"/>
      <c r="H79" s="82"/>
      <c r="I79" s="18">
        <f t="shared" si="10"/>
        <v>-4648.9270815534273</v>
      </c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spans="1:25" ht="14.4" thickBot="1" x14ac:dyDescent="0.35">
      <c r="B80" s="42" t="str">
        <f>B47</f>
        <v>HRC Aperam baixo carbono</v>
      </c>
      <c r="C80" s="79">
        <f t="shared" si="7"/>
        <v>0</v>
      </c>
      <c r="D80" s="84">
        <f>D47-30</f>
        <v>-30</v>
      </c>
      <c r="E80" s="80">
        <f t="shared" si="11"/>
        <v>0</v>
      </c>
      <c r="F80" s="79">
        <f t="shared" si="9"/>
        <v>0</v>
      </c>
      <c r="G80" s="81"/>
      <c r="H80" s="82"/>
      <c r="I80" s="18">
        <f t="shared" si="10"/>
        <v>0</v>
      </c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spans="2:25" ht="14.4" thickBot="1" x14ac:dyDescent="0.35">
      <c r="B81" s="87" t="s">
        <v>69</v>
      </c>
      <c r="C81" s="88">
        <f>SUM(C50:C80)</f>
        <v>7232333.7353226142</v>
      </c>
      <c r="D81" s="89">
        <f>+E81/C81*1000</f>
        <v>477.9340211557668</v>
      </c>
      <c r="E81" s="88">
        <f>SUM(E50:E80)</f>
        <v>3456578.3444632441</v>
      </c>
      <c r="F81" s="88">
        <f>SUM(F50:F80)</f>
        <v>7106558.4866279848</v>
      </c>
      <c r="G81" s="89"/>
      <c r="H81" s="90"/>
      <c r="I81" s="88">
        <f>SUM(I50:I80)</f>
        <v>8451.3804410553839</v>
      </c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spans="2:25" x14ac:dyDescent="0.3">
      <c r="B82" s="76" t="s">
        <v>70</v>
      </c>
      <c r="C82" s="77" t="s">
        <v>28</v>
      </c>
      <c r="D82" s="6" t="s">
        <v>29</v>
      </c>
      <c r="E82" s="78" t="s">
        <v>30</v>
      </c>
      <c r="F82" s="77" t="s">
        <v>28</v>
      </c>
      <c r="G82" s="6"/>
      <c r="H82" s="78"/>
      <c r="I82" s="16" t="s">
        <v>12</v>
      </c>
      <c r="J82" s="17" t="s">
        <v>71</v>
      </c>
      <c r="K82" s="17" t="s">
        <v>72</v>
      </c>
      <c r="L82" s="17" t="s">
        <v>10</v>
      </c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spans="2:25" x14ac:dyDescent="0.3">
      <c r="B83" s="13" t="s">
        <v>35</v>
      </c>
      <c r="C83" s="79">
        <f t="shared" ref="C83:C113" si="12">C50</f>
        <v>961000</v>
      </c>
      <c r="D83" s="55">
        <f t="shared" ref="D83:E98" si="13">D17-D50</f>
        <v>84.272668458113856</v>
      </c>
      <c r="E83" s="80">
        <f t="shared" si="13"/>
        <v>80986.034388247353</v>
      </c>
      <c r="F83" s="79">
        <f t="shared" ref="F83:F113" si="14">F50</f>
        <v>966247.86999999988</v>
      </c>
      <c r="G83" s="81"/>
      <c r="H83" s="82"/>
      <c r="I83" s="19">
        <f t="shared" ref="I83:I113" si="15">+I17+I50</f>
        <v>1850.6547439963251</v>
      </c>
      <c r="J83" s="18">
        <f t="shared" ref="J83:J113" si="16">F17-C17</f>
        <v>5247.8699999998789</v>
      </c>
      <c r="K83" s="19">
        <f>J83*D83/1000</f>
        <v>442.25200862127178</v>
      </c>
      <c r="L83" s="19">
        <f t="shared" ref="L83:L109" si="17">K83-I83</f>
        <v>-1408.4027353750535</v>
      </c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spans="2:25" x14ac:dyDescent="0.3">
      <c r="B84" s="13" t="s">
        <v>36</v>
      </c>
      <c r="C84" s="79">
        <f t="shared" si="12"/>
        <v>400000</v>
      </c>
      <c r="D84" s="55">
        <f t="shared" si="13"/>
        <v>28.199954689128276</v>
      </c>
      <c r="E84" s="80">
        <f t="shared" si="13"/>
        <v>11279.981875651312</v>
      </c>
      <c r="F84" s="79">
        <f t="shared" si="14"/>
        <v>997327.08221481298</v>
      </c>
      <c r="G84" s="81"/>
      <c r="H84" s="82"/>
      <c r="I84" s="19">
        <f t="shared" si="15"/>
        <v>17040.763281634834</v>
      </c>
      <c r="J84" s="18">
        <f t="shared" si="16"/>
        <v>597327.08221481298</v>
      </c>
      <c r="K84" s="19">
        <f t="shared" ref="K84:K109" si="18">J84*D84/1000</f>
        <v>16844.596653046927</v>
      </c>
      <c r="L84" s="19">
        <f t="shared" si="17"/>
        <v>-196.16662858790733</v>
      </c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spans="2:25" x14ac:dyDescent="0.3">
      <c r="B85" s="13" t="s">
        <v>37</v>
      </c>
      <c r="C85" s="79">
        <f t="shared" si="12"/>
        <v>1423164.3800000001</v>
      </c>
      <c r="D85" s="55">
        <f t="shared" si="13"/>
        <v>36.906952394043515</v>
      </c>
      <c r="E85" s="80">
        <f t="shared" si="13"/>
        <v>52524.660021558404</v>
      </c>
      <c r="F85" s="79">
        <f t="shared" si="14"/>
        <v>874385.0420000006</v>
      </c>
      <c r="G85" s="81"/>
      <c r="H85" s="82"/>
      <c r="I85" s="19">
        <f t="shared" si="15"/>
        <v>-19340.333006154309</v>
      </c>
      <c r="J85" s="18">
        <f t="shared" si="16"/>
        <v>-548779.33799999952</v>
      </c>
      <c r="K85" s="19">
        <f t="shared" si="18"/>
        <v>-20253.772902400699</v>
      </c>
      <c r="L85" s="19">
        <f t="shared" si="17"/>
        <v>-913.43989624638925</v>
      </c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spans="2:25" x14ac:dyDescent="0.3">
      <c r="B86" s="13" t="s">
        <v>38</v>
      </c>
      <c r="C86" s="79">
        <f t="shared" si="12"/>
        <v>31000.000000000004</v>
      </c>
      <c r="D86" s="55">
        <f t="shared" si="13"/>
        <v>0.72748998948657118</v>
      </c>
      <c r="E86" s="80">
        <f t="shared" si="13"/>
        <v>22.552189674082911</v>
      </c>
      <c r="F86" s="79">
        <f t="shared" si="14"/>
        <v>32424.16</v>
      </c>
      <c r="G86" s="81"/>
      <c r="H86" s="82"/>
      <c r="I86" s="21">
        <f t="shared" si="15"/>
        <v>1.4282602040632355</v>
      </c>
      <c r="J86" s="18">
        <f t="shared" si="16"/>
        <v>1424.1599999999962</v>
      </c>
      <c r="K86" s="21">
        <f t="shared" si="18"/>
        <v>1.0360621434271926</v>
      </c>
      <c r="L86" s="21">
        <f t="shared" si="17"/>
        <v>-0.3921980606360429</v>
      </c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spans="2:25" x14ac:dyDescent="0.3">
      <c r="B87" s="13" t="s">
        <v>39</v>
      </c>
      <c r="C87" s="79">
        <f t="shared" si="12"/>
        <v>18000</v>
      </c>
      <c r="D87" s="55">
        <f t="shared" si="13"/>
        <v>269.02612368960223</v>
      </c>
      <c r="E87" s="80">
        <f t="shared" si="13"/>
        <v>4842.4702264128409</v>
      </c>
      <c r="F87" s="79">
        <f t="shared" si="14"/>
        <v>16529.159999999996</v>
      </c>
      <c r="G87" s="81"/>
      <c r="H87" s="82"/>
      <c r="I87" s="21">
        <f t="shared" si="15"/>
        <v>-311.48050214752914</v>
      </c>
      <c r="J87" s="18">
        <f t="shared" si="16"/>
        <v>-1470.8400000000038</v>
      </c>
      <c r="K87" s="21">
        <f t="shared" si="18"/>
        <v>-395.69438376761553</v>
      </c>
      <c r="L87" s="21">
        <f t="shared" si="17"/>
        <v>-84.213881620086397</v>
      </c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spans="2:25" x14ac:dyDescent="0.3">
      <c r="B88" s="13" t="s">
        <v>40</v>
      </c>
      <c r="C88" s="79">
        <f t="shared" si="12"/>
        <v>433467</v>
      </c>
      <c r="D88" s="55">
        <f t="shared" si="13"/>
        <v>36.052263114102971</v>
      </c>
      <c r="E88" s="80">
        <f t="shared" si="13"/>
        <v>15627.466335280857</v>
      </c>
      <c r="F88" s="79">
        <f t="shared" si="14"/>
        <v>197566.82000000007</v>
      </c>
      <c r="G88" s="81"/>
      <c r="H88" s="82"/>
      <c r="I88" s="19">
        <f t="shared" si="15"/>
        <v>-8232.9629901110748</v>
      </c>
      <c r="J88" s="18">
        <f t="shared" si="16"/>
        <v>-235900.17999999993</v>
      </c>
      <c r="K88" s="19">
        <f t="shared" si="18"/>
        <v>-8504.7353580242489</v>
      </c>
      <c r="L88" s="19">
        <f t="shared" si="17"/>
        <v>-271.77236791317409</v>
      </c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spans="2:25" x14ac:dyDescent="0.3">
      <c r="B89" s="91" t="s">
        <v>41</v>
      </c>
      <c r="C89" s="92">
        <f t="shared" si="12"/>
        <v>85817.96</v>
      </c>
      <c r="D89" s="93">
        <f t="shared" si="13"/>
        <v>244.22864382719018</v>
      </c>
      <c r="E89" s="94">
        <f t="shared" si="13"/>
        <v>20959.20398681605</v>
      </c>
      <c r="F89" s="79">
        <f t="shared" si="14"/>
        <v>100236.84017419748</v>
      </c>
      <c r="G89" s="81"/>
      <c r="H89" s="82"/>
      <c r="I89" s="21">
        <f t="shared" si="15"/>
        <v>3885.9984963919514</v>
      </c>
      <c r="J89" s="18">
        <f t="shared" si="16"/>
        <v>14418.880174197475</v>
      </c>
      <c r="K89" s="21">
        <f t="shared" si="18"/>
        <v>3521.5035504510092</v>
      </c>
      <c r="L89" s="21">
        <f t="shared" si="17"/>
        <v>-364.49494594094222</v>
      </c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spans="2:25" x14ac:dyDescent="0.3">
      <c r="B90" s="13" t="s">
        <v>42</v>
      </c>
      <c r="C90" s="79">
        <f t="shared" si="12"/>
        <v>1438681.32</v>
      </c>
      <c r="D90" s="55">
        <f t="shared" si="13"/>
        <v>221.55976110392072</v>
      </c>
      <c r="E90" s="80">
        <f t="shared" si="13"/>
        <v>318753.88956387329</v>
      </c>
      <c r="F90" s="79">
        <f t="shared" si="14"/>
        <v>1441770.7359999982</v>
      </c>
      <c r="G90" s="81"/>
      <c r="H90" s="82"/>
      <c r="I90" s="21">
        <f t="shared" si="15"/>
        <v>6227.8392367455326</v>
      </c>
      <c r="J90" s="18">
        <f t="shared" si="16"/>
        <v>3089.4159999981057</v>
      </c>
      <c r="K90" s="21">
        <f t="shared" si="18"/>
        <v>684.49027091021071</v>
      </c>
      <c r="L90" s="21">
        <f t="shared" si="17"/>
        <v>-5543.3489658353219</v>
      </c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spans="2:25" x14ac:dyDescent="0.3">
      <c r="B91" s="13" t="s">
        <v>43</v>
      </c>
      <c r="C91" s="79">
        <f t="shared" si="12"/>
        <v>427373.81000000006</v>
      </c>
      <c r="D91" s="55">
        <f t="shared" si="13"/>
        <v>238.29190343670007</v>
      </c>
      <c r="E91" s="80">
        <f t="shared" si="13"/>
        <v>101839.71866389463</v>
      </c>
      <c r="F91" s="79">
        <f t="shared" si="14"/>
        <v>446359.43442400004</v>
      </c>
      <c r="G91" s="81"/>
      <c r="H91" s="82"/>
      <c r="I91" s="21">
        <f t="shared" si="15"/>
        <v>6295.1832030281639</v>
      </c>
      <c r="J91" s="18">
        <f t="shared" si="16"/>
        <v>18985.62442399998</v>
      </c>
      <c r="K91" s="21">
        <f>J91*D91/1000</f>
        <v>4524.1205819292572</v>
      </c>
      <c r="L91" s="21">
        <f>K91-I91</f>
        <v>-1771.0626210989067</v>
      </c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spans="2:25" x14ac:dyDescent="0.3">
      <c r="B92" s="91" t="s">
        <v>44</v>
      </c>
      <c r="C92" s="92">
        <f t="shared" si="12"/>
        <v>102999.19000000002</v>
      </c>
      <c r="D92" s="93">
        <f t="shared" si="13"/>
        <v>341.9938587047485</v>
      </c>
      <c r="E92" s="94">
        <f t="shared" si="13"/>
        <v>35225.090431563549</v>
      </c>
      <c r="F92" s="79">
        <f t="shared" si="14"/>
        <v>90523.857724700007</v>
      </c>
      <c r="G92" s="81"/>
      <c r="H92" s="82"/>
      <c r="I92" s="21">
        <f t="shared" si="15"/>
        <v>-3653.8985186281807</v>
      </c>
      <c r="J92" s="18">
        <f t="shared" si="16"/>
        <v>-12475.33227530001</v>
      </c>
      <c r="K92" s="21">
        <f>J92*D92/1000</f>
        <v>-4266.4870234537402</v>
      </c>
      <c r="L92" s="21">
        <f>K92-I92</f>
        <v>-612.58850482555954</v>
      </c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spans="2:25" x14ac:dyDescent="0.3">
      <c r="B93" s="13" t="s">
        <v>45</v>
      </c>
      <c r="C93" s="79">
        <f t="shared" si="12"/>
        <v>0</v>
      </c>
      <c r="D93" s="55">
        <f t="shared" si="13"/>
        <v>269.38858166534862</v>
      </c>
      <c r="E93" s="80">
        <f t="shared" si="13"/>
        <v>0</v>
      </c>
      <c r="F93" s="79">
        <f t="shared" si="14"/>
        <v>45424.208000000021</v>
      </c>
      <c r="G93" s="81"/>
      <c r="H93" s="82"/>
      <c r="I93" s="21">
        <f t="shared" si="15"/>
        <v>12236.762966391787</v>
      </c>
      <c r="J93" s="18">
        <f t="shared" si="16"/>
        <v>45424.208000000021</v>
      </c>
      <c r="K93" s="21">
        <f t="shared" si="18"/>
        <v>12236.762966391787</v>
      </c>
      <c r="L93" s="21">
        <f t="shared" si="17"/>
        <v>0</v>
      </c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spans="2:25" x14ac:dyDescent="0.3">
      <c r="B94" s="91" t="s">
        <v>46</v>
      </c>
      <c r="C94" s="92">
        <f t="shared" si="12"/>
        <v>1220.3923579624538</v>
      </c>
      <c r="D94" s="93">
        <f t="shared" si="13"/>
        <v>388.26831379374886</v>
      </c>
      <c r="E94" s="94">
        <f t="shared" si="13"/>
        <v>473.83968299285903</v>
      </c>
      <c r="F94" s="79">
        <f t="shared" si="14"/>
        <v>1887.8105506815871</v>
      </c>
      <c r="G94" s="81"/>
      <c r="H94" s="82"/>
      <c r="I94" s="19">
        <f t="shared" si="15"/>
        <v>267.37773366315508</v>
      </c>
      <c r="J94" s="18">
        <f t="shared" si="16"/>
        <v>667.41819271913323</v>
      </c>
      <c r="K94" s="19">
        <f t="shared" si="18"/>
        <v>259.13733628232916</v>
      </c>
      <c r="L94" s="19">
        <f t="shared" si="17"/>
        <v>-8.2403973808259252</v>
      </c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spans="2:25" x14ac:dyDescent="0.3">
      <c r="B95" s="13" t="s">
        <v>47</v>
      </c>
      <c r="C95" s="79">
        <f t="shared" si="12"/>
        <v>492.26</v>
      </c>
      <c r="D95" s="55">
        <f t="shared" si="13"/>
        <v>-171.40909091166469</v>
      </c>
      <c r="E95" s="80">
        <f t="shared" si="13"/>
        <v>-84.377839092176032</v>
      </c>
      <c r="F95" s="79">
        <f t="shared" si="14"/>
        <v>4847.375</v>
      </c>
      <c r="G95" s="81"/>
      <c r="H95" s="82"/>
      <c r="I95" s="19">
        <f t="shared" si="15"/>
        <v>-747.97369151342355</v>
      </c>
      <c r="J95" s="18">
        <f t="shared" si="16"/>
        <v>4355.1149999999998</v>
      </c>
      <c r="K95" s="19">
        <f t="shared" si="18"/>
        <v>-746.50630296575457</v>
      </c>
      <c r="L95" s="19">
        <f t="shared" si="17"/>
        <v>1.4673885476689748</v>
      </c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spans="2:25" x14ac:dyDescent="0.3">
      <c r="B96" s="91" t="s">
        <v>48</v>
      </c>
      <c r="C96" s="92">
        <f t="shared" si="12"/>
        <v>90127.470395196156</v>
      </c>
      <c r="D96" s="93">
        <f t="shared" si="13"/>
        <v>427.29820281741667</v>
      </c>
      <c r="E96" s="94">
        <f t="shared" si="13"/>
        <v>38511.306124347248</v>
      </c>
      <c r="F96" s="79">
        <f t="shared" si="14"/>
        <v>95622.293215625148</v>
      </c>
      <c r="G96" s="81"/>
      <c r="H96" s="82"/>
      <c r="I96" s="21">
        <f t="shared" si="15"/>
        <v>3017.6659676978684</v>
      </c>
      <c r="J96" s="18">
        <f t="shared" si="16"/>
        <v>5494.8228204289917</v>
      </c>
      <c r="K96" s="21">
        <f t="shared" si="18"/>
        <v>2347.927915969437</v>
      </c>
      <c r="L96" s="21">
        <f t="shared" si="17"/>
        <v>-669.7380517284314</v>
      </c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spans="2:25" x14ac:dyDescent="0.3">
      <c r="B97" s="13" t="s">
        <v>49</v>
      </c>
      <c r="C97" s="79">
        <f t="shared" si="12"/>
        <v>265325.53999999992</v>
      </c>
      <c r="D97" s="55">
        <f t="shared" si="13"/>
        <v>293.49176401400945</v>
      </c>
      <c r="E97" s="80">
        <f t="shared" si="13"/>
        <v>77870.860772569606</v>
      </c>
      <c r="F97" s="79">
        <f t="shared" si="14"/>
        <v>286122.31839448167</v>
      </c>
      <c r="G97" s="81"/>
      <c r="H97" s="82"/>
      <c r="I97" s="21">
        <f t="shared" si="15"/>
        <v>7457.9109044192701</v>
      </c>
      <c r="J97" s="18">
        <f t="shared" si="16"/>
        <v>20796.778394481749</v>
      </c>
      <c r="K97" s="21">
        <f t="shared" si="18"/>
        <v>6103.6831768048878</v>
      </c>
      <c r="L97" s="21">
        <f t="shared" si="17"/>
        <v>-1354.2277276143823</v>
      </c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spans="2:25" x14ac:dyDescent="0.3">
      <c r="B98" s="13" t="s">
        <v>50</v>
      </c>
      <c r="C98" s="79">
        <f t="shared" si="12"/>
        <v>110301.97000000002</v>
      </c>
      <c r="D98" s="55">
        <f t="shared" si="13"/>
        <v>258.77639524131905</v>
      </c>
      <c r="E98" s="80">
        <f t="shared" si="13"/>
        <v>28543.54618461612</v>
      </c>
      <c r="F98" s="79">
        <f t="shared" si="14"/>
        <v>117390.91099999999</v>
      </c>
      <c r="G98" s="81"/>
      <c r="H98" s="82"/>
      <c r="I98" s="21">
        <f t="shared" si="15"/>
        <v>2330.8424615122076</v>
      </c>
      <c r="J98" s="18">
        <f t="shared" si="16"/>
        <v>7088.9409999999771</v>
      </c>
      <c r="K98" s="21">
        <f>J98*D98/1000</f>
        <v>1834.4505980583856</v>
      </c>
      <c r="L98" s="21">
        <f>K98-I98</f>
        <v>-496.391863453822</v>
      </c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spans="2:25" x14ac:dyDescent="0.3">
      <c r="B99" s="91" t="s">
        <v>51</v>
      </c>
      <c r="C99" s="92">
        <f t="shared" si="12"/>
        <v>49551.853244528029</v>
      </c>
      <c r="D99" s="93">
        <f t="shared" ref="D99:E113" si="19">D33-D66</f>
        <v>445.45555598797739</v>
      </c>
      <c r="E99" s="94">
        <f t="shared" si="19"/>
        <v>22073.148337275892</v>
      </c>
      <c r="F99" s="79">
        <f t="shared" si="14"/>
        <v>41148.523634731071</v>
      </c>
      <c r="G99" s="81"/>
      <c r="H99" s="82"/>
      <c r="I99" s="19">
        <f t="shared" si="15"/>
        <v>-3359.4426605579038</v>
      </c>
      <c r="J99" s="18">
        <f t="shared" si="16"/>
        <v>-8403.3296097969578</v>
      </c>
      <c r="K99" s="19">
        <f t="shared" si="18"/>
        <v>-3743.3098634823368</v>
      </c>
      <c r="L99" s="19">
        <f t="shared" si="17"/>
        <v>-383.86720292443306</v>
      </c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spans="2:25" x14ac:dyDescent="0.3">
      <c r="B100" s="13" t="s">
        <v>52</v>
      </c>
      <c r="C100" s="79">
        <f t="shared" si="12"/>
        <v>1014.1200000000001</v>
      </c>
      <c r="D100" s="55">
        <f t="shared" si="19"/>
        <v>-268.88972499172542</v>
      </c>
      <c r="E100" s="80">
        <f t="shared" si="19"/>
        <v>-272.68644790860861</v>
      </c>
      <c r="F100" s="79">
        <f t="shared" si="14"/>
        <v>2599.1210000000001</v>
      </c>
      <c r="G100" s="81"/>
      <c r="H100" s="82"/>
      <c r="I100" s="19">
        <f t="shared" si="15"/>
        <v>-430.93268753150505</v>
      </c>
      <c r="J100" s="18">
        <f t="shared" si="16"/>
        <v>1585.001</v>
      </c>
      <c r="K100" s="19">
        <f t="shared" si="18"/>
        <v>-426.19048300160972</v>
      </c>
      <c r="L100" s="19">
        <f t="shared" si="17"/>
        <v>4.7422045298953321</v>
      </c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spans="2:25" x14ac:dyDescent="0.3">
      <c r="B101" s="91" t="s">
        <v>53</v>
      </c>
      <c r="C101" s="92">
        <f t="shared" si="12"/>
        <v>463694.02845894557</v>
      </c>
      <c r="D101" s="93">
        <f t="shared" si="19"/>
        <v>472.53611398332612</v>
      </c>
      <c r="E101" s="94">
        <f t="shared" si="19"/>
        <v>219112.17428526399</v>
      </c>
      <c r="F101" s="79">
        <f t="shared" si="14"/>
        <v>463787.28951984947</v>
      </c>
      <c r="G101" s="81"/>
      <c r="H101" s="82"/>
      <c r="I101" s="21">
        <f t="shared" si="15"/>
        <v>3854.580351853605</v>
      </c>
      <c r="J101" s="18">
        <f t="shared" si="16"/>
        <v>93.261060903896578</v>
      </c>
      <c r="K101" s="21">
        <f t="shared" si="18"/>
        <v>44.06921930548959</v>
      </c>
      <c r="L101" s="21">
        <f t="shared" si="17"/>
        <v>-3810.5111325481153</v>
      </c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spans="2:25" x14ac:dyDescent="0.3">
      <c r="B102" s="13" t="s">
        <v>54</v>
      </c>
      <c r="C102" s="79">
        <f t="shared" si="12"/>
        <v>416584.70999999996</v>
      </c>
      <c r="D102" s="55">
        <f t="shared" si="19"/>
        <v>256.57829608609347</v>
      </c>
      <c r="E102" s="80">
        <f t="shared" si="19"/>
        <v>106886.59506731937</v>
      </c>
      <c r="F102" s="79">
        <f t="shared" si="14"/>
        <v>438619.17</v>
      </c>
      <c r="G102" s="81"/>
      <c r="H102" s="82"/>
      <c r="I102" s="21">
        <f t="shared" si="15"/>
        <v>7512.3954684403834</v>
      </c>
      <c r="J102" s="18">
        <f t="shared" si="16"/>
        <v>22034.460000000021</v>
      </c>
      <c r="K102" s="21">
        <f t="shared" si="18"/>
        <v>5653.5642019771885</v>
      </c>
      <c r="L102" s="21">
        <f t="shared" si="17"/>
        <v>-1858.8312664631949</v>
      </c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spans="2:25" x14ac:dyDescent="0.3">
      <c r="B103" s="13" t="s">
        <v>55</v>
      </c>
      <c r="C103" s="79">
        <f t="shared" si="12"/>
        <v>83539.329999999987</v>
      </c>
      <c r="D103" s="55">
        <f t="shared" si="19"/>
        <v>208.09741659024064</v>
      </c>
      <c r="E103" s="80">
        <f t="shared" si="19"/>
        <v>17384.318756679582</v>
      </c>
      <c r="F103" s="79">
        <f t="shared" si="14"/>
        <v>76159.621079999997</v>
      </c>
      <c r="G103" s="81"/>
      <c r="H103" s="82"/>
      <c r="I103" s="21">
        <f t="shared" si="15"/>
        <v>-1233.3731238296955</v>
      </c>
      <c r="J103" s="18">
        <f t="shared" si="16"/>
        <v>-7379.70891999999</v>
      </c>
      <c r="K103" s="21">
        <f>J103*D103/1000</f>
        <v>-1535.6983614399528</v>
      </c>
      <c r="L103" s="21">
        <f>K103-I103</f>
        <v>-302.32523761025732</v>
      </c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spans="2:25" x14ac:dyDescent="0.3">
      <c r="B104" s="13" t="s">
        <v>56</v>
      </c>
      <c r="C104" s="79">
        <f t="shared" si="12"/>
        <v>0</v>
      </c>
      <c r="D104" s="55">
        <f t="shared" si="19"/>
        <v>-663.85930953456682</v>
      </c>
      <c r="E104" s="80">
        <f t="shared" si="19"/>
        <v>0</v>
      </c>
      <c r="F104" s="79">
        <f t="shared" si="14"/>
        <v>0</v>
      </c>
      <c r="G104" s="81"/>
      <c r="H104" s="82"/>
      <c r="I104" s="19">
        <f t="shared" si="15"/>
        <v>0</v>
      </c>
      <c r="J104" s="18">
        <f t="shared" si="16"/>
        <v>0</v>
      </c>
      <c r="K104" s="19">
        <f t="shared" si="18"/>
        <v>0</v>
      </c>
      <c r="L104" s="19">
        <f t="shared" si="17"/>
        <v>0</v>
      </c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spans="2:25" x14ac:dyDescent="0.3">
      <c r="B105" s="13" t="s">
        <v>57</v>
      </c>
      <c r="C105" s="79">
        <f t="shared" si="12"/>
        <v>181457.09000000003</v>
      </c>
      <c r="D105" s="55">
        <f t="shared" si="19"/>
        <v>309.16229939933601</v>
      </c>
      <c r="E105" s="80">
        <f t="shared" si="19"/>
        <v>56099.69118671224</v>
      </c>
      <c r="F105" s="79">
        <f t="shared" si="14"/>
        <v>136271.78900000008</v>
      </c>
      <c r="G105" s="81"/>
      <c r="H105" s="82"/>
      <c r="I105" s="21">
        <f t="shared" si="15"/>
        <v>-12993.979413723879</v>
      </c>
      <c r="J105" s="18">
        <f t="shared" si="16"/>
        <v>-45185.300999999949</v>
      </c>
      <c r="K105" s="21">
        <f t="shared" si="18"/>
        <v>-13969.5915562111</v>
      </c>
      <c r="L105" s="21">
        <f t="shared" si="17"/>
        <v>-975.61214248722172</v>
      </c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spans="2:25" x14ac:dyDescent="0.3">
      <c r="B106" s="13" t="s">
        <v>58</v>
      </c>
      <c r="C106" s="79">
        <f t="shared" si="12"/>
        <v>106335.88</v>
      </c>
      <c r="D106" s="55">
        <f t="shared" si="19"/>
        <v>344.25133478081852</v>
      </c>
      <c r="E106" s="80">
        <f t="shared" si="19"/>
        <v>36606.268625092955</v>
      </c>
      <c r="F106" s="79">
        <f t="shared" si="14"/>
        <v>88523.367000000013</v>
      </c>
      <c r="G106" s="81"/>
      <c r="H106" s="82"/>
      <c r="I106" s="21">
        <f t="shared" si="15"/>
        <v>-5495.3732342531312</v>
      </c>
      <c r="J106" s="18">
        <f t="shared" si="16"/>
        <v>-17812.512999999992</v>
      </c>
      <c r="K106" s="21">
        <f>J106*D106/1000</f>
        <v>-6131.9813760506786</v>
      </c>
      <c r="L106" s="21">
        <f>K106-I106</f>
        <v>-636.60814179754743</v>
      </c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spans="2:25" x14ac:dyDescent="0.3">
      <c r="B107" s="91" t="s">
        <v>59</v>
      </c>
      <c r="C107" s="92">
        <f t="shared" si="12"/>
        <v>94231.594684142721</v>
      </c>
      <c r="D107" s="93">
        <f t="shared" si="19"/>
        <v>718.52838199190626</v>
      </c>
      <c r="E107" s="94">
        <f t="shared" si="19"/>
        <v>67708.075260914193</v>
      </c>
      <c r="F107" s="79">
        <f t="shared" si="14"/>
        <v>99323.020800091981</v>
      </c>
      <c r="G107" s="81"/>
      <c r="H107" s="82"/>
      <c r="I107" s="21">
        <f t="shared" si="15"/>
        <v>4835.8240798822244</v>
      </c>
      <c r="J107" s="18">
        <f t="shared" si="16"/>
        <v>5091.4261159492598</v>
      </c>
      <c r="K107" s="21">
        <f t="shared" si="18"/>
        <v>3658.3341691243572</v>
      </c>
      <c r="L107" s="21">
        <f t="shared" si="17"/>
        <v>-1177.4899107578672</v>
      </c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spans="2:25" x14ac:dyDescent="0.3">
      <c r="B108" s="13" t="s">
        <v>60</v>
      </c>
      <c r="C108" s="79">
        <f t="shared" si="12"/>
        <v>7737.5399999999991</v>
      </c>
      <c r="D108" s="55">
        <f t="shared" si="19"/>
        <v>275.87626895466155</v>
      </c>
      <c r="E108" s="80">
        <f t="shared" si="19"/>
        <v>2134.6036660874515</v>
      </c>
      <c r="F108" s="79">
        <f t="shared" si="14"/>
        <v>7661.2250000000004</v>
      </c>
      <c r="G108" s="81"/>
      <c r="H108" s="82"/>
      <c r="I108" s="21">
        <f t="shared" si="15"/>
        <v>16.068725705285559</v>
      </c>
      <c r="J108" s="18">
        <f t="shared" si="16"/>
        <v>-76.31499999999869</v>
      </c>
      <c r="K108" s="21">
        <f>J108*D108/1000</f>
        <v>-21.053497465274635</v>
      </c>
      <c r="L108" s="21">
        <f>K108-I108</f>
        <v>-37.12222317056019</v>
      </c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spans="2:25" x14ac:dyDescent="0.3">
      <c r="B109" s="91" t="s">
        <v>61</v>
      </c>
      <c r="C109" s="92">
        <f t="shared" si="12"/>
        <v>3816.3261818387646</v>
      </c>
      <c r="D109" s="93">
        <f t="shared" si="19"/>
        <v>1208.6233558892334</v>
      </c>
      <c r="E109" s="94">
        <f t="shared" si="19"/>
        <v>4612.5009570619131</v>
      </c>
      <c r="F109" s="79">
        <f t="shared" si="14"/>
        <v>3627.2928948158055</v>
      </c>
      <c r="G109" s="81"/>
      <c r="H109" s="82"/>
      <c r="I109" s="21">
        <f t="shared" si="15"/>
        <v>-148.25548758557164</v>
      </c>
      <c r="J109" s="18">
        <f t="shared" si="16"/>
        <v>-189.03328702295903</v>
      </c>
      <c r="K109" s="21">
        <f t="shared" si="18"/>
        <v>-228.4700457364614</v>
      </c>
      <c r="L109" s="21">
        <f t="shared" si="17"/>
        <v>-80.214558150889758</v>
      </c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spans="2:25" x14ac:dyDescent="0.3">
      <c r="B110" s="13" t="str">
        <f>B77</f>
        <v>Magnelis DM Industry</v>
      </c>
      <c r="C110" s="79">
        <f t="shared" si="12"/>
        <v>0</v>
      </c>
      <c r="D110" s="55">
        <f t="shared" si="19"/>
        <v>-182.6228988553986</v>
      </c>
      <c r="E110" s="80">
        <f t="shared" si="19"/>
        <v>0</v>
      </c>
      <c r="F110" s="79">
        <f t="shared" si="14"/>
        <v>10000</v>
      </c>
      <c r="G110" s="81"/>
      <c r="H110" s="82"/>
      <c r="I110" s="19">
        <f t="shared" si="15"/>
        <v>-1826.2289885539858</v>
      </c>
      <c r="J110" s="18">
        <f t="shared" si="16"/>
        <v>10000</v>
      </c>
      <c r="K110" s="19">
        <f>J110*D110/1000</f>
        <v>-1826.228988553986</v>
      </c>
      <c r="L110" s="19">
        <f>K110-I110</f>
        <v>0</v>
      </c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spans="2:25" x14ac:dyDescent="0.3">
      <c r="B111" s="13" t="str">
        <f>B78</f>
        <v>Industry Imports</v>
      </c>
      <c r="C111" s="79">
        <f t="shared" si="12"/>
        <v>35399.969999999994</v>
      </c>
      <c r="D111" s="55">
        <f t="shared" si="19"/>
        <v>284.85966315171265</v>
      </c>
      <c r="E111" s="80">
        <f t="shared" si="19"/>
        <v>10084.02352978073</v>
      </c>
      <c r="F111" s="79">
        <f t="shared" si="14"/>
        <v>17169.268000000007</v>
      </c>
      <c r="G111" s="81"/>
      <c r="H111" s="82"/>
      <c r="I111" s="21">
        <f t="shared" si="15"/>
        <v>-5017.8235388180747</v>
      </c>
      <c r="J111" s="18">
        <f t="shared" si="16"/>
        <v>-18230.701999999987</v>
      </c>
      <c r="K111" s="21">
        <f t="shared" ref="K111:K113" si="20">J111*D111/1000</f>
        <v>-5193.1916307392503</v>
      </c>
      <c r="L111" s="21">
        <f t="shared" ref="L111:L113" si="21">K111-I111</f>
        <v>-175.36809192117562</v>
      </c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spans="2:25" x14ac:dyDescent="0.3">
      <c r="B112" s="25" t="str">
        <f>B79</f>
        <v>Magnelis DM Downstream</v>
      </c>
      <c r="C112" s="79">
        <f t="shared" si="12"/>
        <v>0</v>
      </c>
      <c r="D112" s="55">
        <f t="shared" si="19"/>
        <v>343.65894326928276</v>
      </c>
      <c r="E112" s="80">
        <f t="shared" si="19"/>
        <v>0</v>
      </c>
      <c r="F112" s="79">
        <f t="shared" si="14"/>
        <v>7002.88</v>
      </c>
      <c r="G112" s="81"/>
      <c r="H112" s="82"/>
      <c r="I112" s="21">
        <f t="shared" si="15"/>
        <v>2406.6023406415943</v>
      </c>
      <c r="J112" s="18">
        <f t="shared" si="16"/>
        <v>7002.88</v>
      </c>
      <c r="K112" s="21">
        <f t="shared" si="20"/>
        <v>2406.6023406415948</v>
      </c>
      <c r="L112" s="21">
        <f t="shared" si="21"/>
        <v>0</v>
      </c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spans="2:25" ht="14.4" thickBot="1" x14ac:dyDescent="0.35">
      <c r="B113" s="25" t="str">
        <f>B80</f>
        <v>HRC Aperam baixo carbono</v>
      </c>
      <c r="C113" s="55">
        <f t="shared" si="12"/>
        <v>0</v>
      </c>
      <c r="D113" s="55">
        <f t="shared" si="19"/>
        <v>30</v>
      </c>
      <c r="E113" s="80">
        <f t="shared" si="19"/>
        <v>0</v>
      </c>
      <c r="F113" s="79">
        <f t="shared" si="14"/>
        <v>0</v>
      </c>
      <c r="G113" s="81"/>
      <c r="H113" s="82"/>
      <c r="I113" s="21">
        <f t="shared" si="15"/>
        <v>0</v>
      </c>
      <c r="J113" s="18">
        <f t="shared" si="16"/>
        <v>0</v>
      </c>
      <c r="K113" s="21">
        <f t="shared" si="20"/>
        <v>0</v>
      </c>
      <c r="L113" s="21">
        <f t="shared" si="21"/>
        <v>0</v>
      </c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spans="2:25" ht="14.4" thickBot="1" x14ac:dyDescent="0.35">
      <c r="B114" s="72" t="s">
        <v>73</v>
      </c>
      <c r="C114" s="75">
        <f>SUM(C83:C113)</f>
        <v>7232333.7353226142</v>
      </c>
      <c r="D114" s="89">
        <f>E114/C114*1000</f>
        <v>183.86941262651328</v>
      </c>
      <c r="E114" s="75">
        <f>SUM(E83:E113)</f>
        <v>1329804.9558326858</v>
      </c>
      <c r="F114" s="75">
        <f>SUM(F83:F113)</f>
        <v>7106558.4866279848</v>
      </c>
      <c r="G114" s="89"/>
      <c r="H114" s="90"/>
      <c r="I114" s="75">
        <f>SUM(I83:I113)</f>
        <v>16445.840378799981</v>
      </c>
      <c r="J114" s="75">
        <f>SUM(J83:J113)</f>
        <v>-125775.24869462778</v>
      </c>
      <c r="K114" s="75">
        <f>SUM(K83:K113)</f>
        <v>-6680.3807216351506</v>
      </c>
      <c r="L114" s="75">
        <f>SUM(L83:L113)</f>
        <v>-23126.221100435134</v>
      </c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spans="2:25" ht="14.4" thickBot="1" x14ac:dyDescent="0.35">
      <c r="J115" s="2"/>
      <c r="L115" s="1"/>
      <c r="M115" s="1"/>
      <c r="N115" s="1"/>
      <c r="O115" s="1"/>
    </row>
    <row r="116" spans="2:25" ht="14.4" thickBot="1" x14ac:dyDescent="0.35">
      <c r="B116" s="145" t="s">
        <v>4</v>
      </c>
      <c r="C116" s="149"/>
      <c r="D116" s="147"/>
      <c r="E116" s="148">
        <f>[1]DRE!$O$1</f>
        <v>5.4</v>
      </c>
      <c r="F116" s="146"/>
      <c r="G116" s="147"/>
      <c r="H116" s="148">
        <f>[2]DRE!$O$1</f>
        <v>5.176214439033191</v>
      </c>
      <c r="I116" s="133"/>
      <c r="J116" s="128"/>
      <c r="L116" s="1"/>
      <c r="M116" s="1"/>
      <c r="N116" s="1"/>
      <c r="O116" s="1"/>
    </row>
    <row r="117" spans="2:25" x14ac:dyDescent="0.3">
      <c r="J117" s="2"/>
      <c r="L117" s="1"/>
      <c r="M117" s="1"/>
      <c r="N117" s="1"/>
      <c r="O117" s="1"/>
      <c r="P117" s="1"/>
      <c r="Q117" s="1"/>
      <c r="R117" s="1"/>
    </row>
    <row r="118" spans="2:25" x14ac:dyDescent="0.3">
      <c r="J118" s="2"/>
      <c r="L118" s="1"/>
      <c r="M118" s="1"/>
      <c r="N118" s="1"/>
      <c r="O118" s="1"/>
      <c r="P118" s="1"/>
      <c r="Q118" s="1"/>
      <c r="R118" s="1"/>
    </row>
    <row r="119" spans="2:25" x14ac:dyDescent="0.3">
      <c r="J119" s="2"/>
      <c r="L119" s="1"/>
      <c r="M119" s="1"/>
      <c r="N119" s="1"/>
      <c r="O119" s="1"/>
      <c r="P119" s="1"/>
      <c r="Q119" s="1"/>
      <c r="R119" s="1"/>
    </row>
    <row r="120" spans="2:25" x14ac:dyDescent="0.3">
      <c r="J120" s="2"/>
      <c r="L120" s="1"/>
      <c r="M120" s="1"/>
      <c r="N120" s="1"/>
      <c r="O120" s="1"/>
      <c r="P120" s="1"/>
      <c r="Q120" s="1"/>
      <c r="R120" s="1"/>
    </row>
    <row r="121" spans="2:25" x14ac:dyDescent="0.3">
      <c r="J121" s="2"/>
      <c r="L121" s="1"/>
      <c r="M121" s="1"/>
      <c r="N121" s="1"/>
      <c r="O121" s="1"/>
      <c r="P121" s="1"/>
      <c r="Q121" s="1"/>
      <c r="R121" s="1"/>
    </row>
    <row r="122" spans="2:25" x14ac:dyDescent="0.3">
      <c r="J122" s="2"/>
      <c r="L122" s="1"/>
      <c r="M122" s="1"/>
      <c r="N122" s="1"/>
      <c r="O122" s="1"/>
      <c r="P122" s="1"/>
      <c r="Q122" s="1"/>
      <c r="R122" s="1"/>
    </row>
    <row r="123" spans="2:25" x14ac:dyDescent="0.3">
      <c r="J123" s="2"/>
      <c r="L123" s="1"/>
      <c r="M123" s="1"/>
      <c r="N123" s="1"/>
      <c r="O123" s="1"/>
      <c r="P123" s="1"/>
      <c r="Q123" s="1"/>
      <c r="R123" s="1"/>
    </row>
    <row r="124" spans="2:25" x14ac:dyDescent="0.3">
      <c r="J124" s="2"/>
      <c r="L124" s="1"/>
      <c r="M124" s="1"/>
      <c r="N124" s="1"/>
      <c r="O124" s="1"/>
      <c r="P124" s="1"/>
      <c r="Q124" s="1"/>
      <c r="R124" s="1"/>
    </row>
    <row r="125" spans="2:25" x14ac:dyDescent="0.3">
      <c r="J125" s="2"/>
      <c r="L125" s="1"/>
      <c r="M125" s="1"/>
      <c r="N125" s="1"/>
      <c r="O125" s="1"/>
      <c r="P125" s="1"/>
      <c r="Q125" s="1"/>
      <c r="R125" s="1"/>
    </row>
    <row r="126" spans="2:25" x14ac:dyDescent="0.3">
      <c r="C126" s="143"/>
      <c r="D126" s="143"/>
      <c r="E126" s="143"/>
      <c r="F126" s="143"/>
      <c r="G126" s="143"/>
      <c r="H126" s="143"/>
    </row>
    <row r="127" spans="2:25" x14ac:dyDescent="0.3">
      <c r="C127" s="143"/>
      <c r="D127" s="143"/>
      <c r="E127" s="143"/>
      <c r="F127" s="143"/>
      <c r="G127" s="143"/>
      <c r="H127" s="143"/>
    </row>
    <row r="128" spans="2:25" x14ac:dyDescent="0.3">
      <c r="C128" s="143"/>
      <c r="D128" s="143"/>
      <c r="E128" s="143"/>
      <c r="F128" s="143"/>
      <c r="G128" s="143"/>
      <c r="H128" s="143"/>
    </row>
    <row r="129" spans="1:45" x14ac:dyDescent="0.3">
      <c r="C129" s="143"/>
      <c r="D129" s="143"/>
      <c r="E129" s="143"/>
      <c r="F129" s="143"/>
      <c r="G129" s="143"/>
      <c r="H129" s="143"/>
    </row>
    <row r="130" spans="1:45" x14ac:dyDescent="0.3">
      <c r="C130" s="143"/>
      <c r="D130" s="143"/>
      <c r="E130" s="143"/>
      <c r="F130" s="143"/>
      <c r="G130" s="143"/>
      <c r="H130" s="143"/>
    </row>
    <row r="131" spans="1:45" x14ac:dyDescent="0.3">
      <c r="C131" s="143"/>
      <c r="D131" s="143"/>
      <c r="E131" s="143"/>
      <c r="G131" s="9"/>
    </row>
    <row r="132" spans="1:45" x14ac:dyDescent="0.3">
      <c r="F132" s="9"/>
      <c r="G132" s="9"/>
      <c r="H132" s="9"/>
    </row>
    <row r="133" spans="1:45" x14ac:dyDescent="0.3">
      <c r="C133" s="143"/>
      <c r="D133" s="143"/>
      <c r="E133" s="143"/>
      <c r="F133" s="143"/>
      <c r="G133" s="143"/>
      <c r="H133" s="143"/>
    </row>
    <row r="134" spans="1:45" x14ac:dyDescent="0.3">
      <c r="C134" s="143"/>
      <c r="D134" s="143"/>
      <c r="E134" s="143"/>
      <c r="F134" s="143"/>
      <c r="G134" s="143"/>
      <c r="H134" s="143"/>
    </row>
    <row r="135" spans="1:45" x14ac:dyDescent="0.3">
      <c r="C135" s="143"/>
      <c r="D135" s="143"/>
      <c r="E135" s="143"/>
      <c r="F135" s="143"/>
      <c r="G135" s="143"/>
      <c r="H135" s="143"/>
    </row>
    <row r="136" spans="1:45" x14ac:dyDescent="0.3">
      <c r="C136" s="143"/>
      <c r="D136" s="143"/>
      <c r="E136" s="143"/>
      <c r="F136" s="143"/>
      <c r="G136" s="143"/>
      <c r="H136" s="143"/>
    </row>
    <row r="137" spans="1:45" x14ac:dyDescent="0.3">
      <c r="C137" s="143"/>
      <c r="D137" s="143"/>
      <c r="E137" s="143"/>
      <c r="F137" s="143"/>
      <c r="G137" s="143"/>
      <c r="H137" s="143"/>
    </row>
    <row r="138" spans="1:45" x14ac:dyDescent="0.3">
      <c r="C138" s="143"/>
      <c r="D138" s="143"/>
      <c r="E138" s="143"/>
      <c r="F138" s="143"/>
      <c r="G138" s="143"/>
      <c r="H138" s="143"/>
    </row>
    <row r="139" spans="1:45" x14ac:dyDescent="0.3">
      <c r="C139" s="143"/>
      <c r="D139" s="143"/>
      <c r="E139" s="143"/>
      <c r="F139" s="143"/>
      <c r="G139" s="143"/>
      <c r="H139" s="143"/>
    </row>
    <row r="140" spans="1:45" x14ac:dyDescent="0.3">
      <c r="C140" s="143"/>
      <c r="D140" s="143"/>
      <c r="E140" s="143"/>
      <c r="F140" s="143"/>
      <c r="G140" s="143"/>
      <c r="H140" s="143"/>
    </row>
    <row r="141" spans="1:45" x14ac:dyDescent="0.3">
      <c r="C141" s="143"/>
      <c r="D141" s="143"/>
      <c r="E141" s="143"/>
      <c r="F141" s="143"/>
      <c r="G141" s="143"/>
      <c r="H141" s="143"/>
    </row>
    <row r="142" spans="1:45" x14ac:dyDescent="0.3">
      <c r="C142" s="143"/>
      <c r="D142" s="143"/>
      <c r="E142" s="143"/>
      <c r="F142" s="143"/>
      <c r="G142" s="143"/>
      <c r="H142" s="143"/>
    </row>
    <row r="143" spans="1:45" s="2" customFormat="1" x14ac:dyDescent="0.3">
      <c r="A143" s="1"/>
      <c r="B143" s="1"/>
      <c r="C143" s="143"/>
      <c r="D143" s="143"/>
      <c r="E143" s="143"/>
      <c r="F143" s="143"/>
      <c r="G143" s="143"/>
      <c r="H143" s="143"/>
      <c r="I143" s="1"/>
      <c r="J143" s="1"/>
      <c r="K143" s="1"/>
      <c r="S143" s="1"/>
      <c r="T143" s="1"/>
      <c r="U143" s="1"/>
      <c r="V143" s="3"/>
      <c r="W143" s="1"/>
      <c r="X143" s="1"/>
      <c r="Y143" s="3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s="2" customFormat="1" x14ac:dyDescent="0.3">
      <c r="A144" s="1"/>
      <c r="B144" s="1"/>
      <c r="C144" s="143"/>
      <c r="D144" s="143"/>
      <c r="E144" s="143"/>
      <c r="F144" s="143"/>
      <c r="G144" s="143"/>
      <c r="H144" s="143"/>
      <c r="I144" s="1"/>
      <c r="J144" s="1"/>
      <c r="K144" s="1"/>
      <c r="S144" s="1"/>
      <c r="T144" s="1"/>
      <c r="U144" s="1"/>
      <c r="V144" s="3"/>
      <c r="W144" s="1"/>
      <c r="X144" s="1"/>
      <c r="Y144" s="3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s="2" customFormat="1" x14ac:dyDescent="0.3">
      <c r="A145" s="1"/>
      <c r="B145" s="1"/>
      <c r="C145" s="143"/>
      <c r="D145" s="143"/>
      <c r="E145" s="143"/>
      <c r="F145" s="143"/>
      <c r="G145" s="143"/>
      <c r="H145" s="143"/>
      <c r="I145" s="1"/>
      <c r="J145" s="1"/>
      <c r="K145" s="1"/>
      <c r="O145" s="2">
        <f>F48</f>
        <v>7106558.4866279848</v>
      </c>
      <c r="S145" s="1"/>
      <c r="T145" s="1"/>
      <c r="U145" s="1"/>
      <c r="V145" s="3"/>
      <c r="W145" s="1"/>
      <c r="X145" s="1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s="2" customFormat="1" x14ac:dyDescent="0.3">
      <c r="A146" s="1"/>
      <c r="B146" s="1"/>
      <c r="C146" s="143"/>
      <c r="D146" s="143"/>
      <c r="E146" s="143"/>
      <c r="F146" s="143"/>
      <c r="G146" s="143"/>
      <c r="H146" s="143"/>
      <c r="I146" s="1"/>
      <c r="J146" s="1"/>
      <c r="K146" s="1"/>
      <c r="O146" s="2" t="s">
        <v>136</v>
      </c>
      <c r="S146" s="1"/>
      <c r="T146" s="1"/>
      <c r="U146" s="1"/>
      <c r="V146" s="3"/>
      <c r="W146" s="1"/>
      <c r="X146" s="1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s="2" customFormat="1" x14ac:dyDescent="0.3">
      <c r="A147" s="1"/>
      <c r="B147" s="1"/>
      <c r="C147" s="143"/>
      <c r="D147" s="143"/>
      <c r="E147" s="143"/>
      <c r="F147" s="143"/>
      <c r="G147" s="143"/>
      <c r="H147" s="143"/>
      <c r="I147" s="1"/>
      <c r="J147" s="1"/>
      <c r="K147" s="1"/>
      <c r="S147" s="1"/>
      <c r="T147" s="1"/>
      <c r="U147" s="1"/>
      <c r="V147" s="3"/>
      <c r="W147" s="1"/>
      <c r="X147" s="1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s="2" customFormat="1" x14ac:dyDescent="0.3">
      <c r="A148" s="1"/>
      <c r="B148" s="1"/>
      <c r="C148" s="143"/>
      <c r="D148" s="143"/>
      <c r="E148" s="143"/>
      <c r="F148" s="144"/>
      <c r="G148" s="143"/>
      <c r="H148" s="144"/>
      <c r="I148" s="1"/>
      <c r="J148" s="1"/>
      <c r="K148" s="1"/>
      <c r="S148" s="1"/>
      <c r="T148" s="1"/>
      <c r="U148" s="1"/>
      <c r="V148" s="3"/>
      <c r="W148" s="1"/>
      <c r="X148" s="1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</sheetData>
  <pageMargins left="0.19685039370078741" right="0.19685039370078741" top="0.19685039370078741" bottom="0.19685039370078741" header="0.19685039370078741" footer="0"/>
  <pageSetup paperSize="9" scale="2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0FDA-F581-40D0-BF2B-80190C1AC1AA}">
  <sheetPr>
    <pageSetUpPr fitToPage="1"/>
  </sheetPr>
  <dimension ref="A2:R63"/>
  <sheetViews>
    <sheetView showGridLines="0" zoomScale="80" zoomScaleNormal="80" workbookViewId="0">
      <selection activeCell="B17" sqref="B17:J17"/>
    </sheetView>
  </sheetViews>
  <sheetFormatPr defaultColWidth="9.44140625" defaultRowHeight="13.8" x14ac:dyDescent="0.3"/>
  <cols>
    <col min="1" max="1" width="5.5546875" style="1" customWidth="1"/>
    <col min="2" max="2" width="32" style="1" customWidth="1"/>
    <col min="3" max="3" width="13.44140625" style="1" bestFit="1" customWidth="1"/>
    <col min="4" max="4" width="9.44140625" style="1" customWidth="1"/>
    <col min="5" max="5" width="16.44140625" style="1" bestFit="1" customWidth="1"/>
    <col min="6" max="6" width="13.44140625" style="1" bestFit="1" customWidth="1"/>
    <col min="7" max="7" width="14.44140625" style="1" bestFit="1" customWidth="1"/>
    <col min="8" max="8" width="16.44140625" style="1" bestFit="1" customWidth="1"/>
    <col min="9" max="9" width="10.5546875" style="1" customWidth="1"/>
    <col min="10" max="10" width="14.5546875" style="1" customWidth="1"/>
    <col min="11" max="11" width="16.5546875" style="1" bestFit="1" customWidth="1"/>
    <col min="12" max="12" width="13.44140625" style="2" bestFit="1" customWidth="1"/>
    <col min="13" max="13" width="14.44140625" style="2" customWidth="1"/>
    <col min="14" max="14" width="10.44140625" style="2" bestFit="1" customWidth="1"/>
    <col min="15" max="15" width="14.44140625" style="2" bestFit="1" customWidth="1"/>
    <col min="16" max="16" width="11.5546875" style="2" customWidth="1"/>
    <col min="17" max="17" width="17.5546875" style="2" customWidth="1"/>
    <col min="18" max="18" width="6.5546875" style="1" bestFit="1" customWidth="1"/>
    <col min="19" max="16384" width="9.44140625" style="1"/>
  </cols>
  <sheetData>
    <row r="2" spans="2:18" x14ac:dyDescent="0.3">
      <c r="B2" s="1" t="s">
        <v>141</v>
      </c>
    </row>
    <row r="3" spans="2:18" x14ac:dyDescent="0.3">
      <c r="B3" s="1" t="s">
        <v>142</v>
      </c>
    </row>
    <row r="4" spans="2:18" x14ac:dyDescent="0.3">
      <c r="B4" s="1" t="s">
        <v>143</v>
      </c>
    </row>
    <row r="5" spans="2:18" x14ac:dyDescent="0.3">
      <c r="B5" s="1" t="s">
        <v>115</v>
      </c>
    </row>
    <row r="6" spans="2:18" ht="14.4" thickBot="1" x14ac:dyDescent="0.35"/>
    <row r="7" spans="2:18" x14ac:dyDescent="0.3">
      <c r="B7" s="76" t="s">
        <v>16</v>
      </c>
      <c r="C7" s="95"/>
      <c r="D7" s="6" t="s">
        <v>29</v>
      </c>
      <c r="E7" s="78"/>
      <c r="F7" s="97"/>
      <c r="G7" s="6" t="s">
        <v>29</v>
      </c>
      <c r="H7" s="78"/>
      <c r="I7" s="16" t="s">
        <v>87</v>
      </c>
      <c r="J7" s="16" t="s">
        <v>16</v>
      </c>
      <c r="L7" s="99"/>
      <c r="R7" s="2"/>
    </row>
    <row r="8" spans="2:18" x14ac:dyDescent="0.3">
      <c r="B8" s="13" t="s">
        <v>88</v>
      </c>
      <c r="C8" s="79"/>
      <c r="D8" s="84">
        <f>[9]FY_Budget!K11</f>
        <v>192.44907581258099</v>
      </c>
      <c r="E8" s="80"/>
      <c r="F8" s="79"/>
      <c r="G8" s="84">
        <f>[9]FY_Budget!O11</f>
        <v>209.830332011846</v>
      </c>
      <c r="H8" s="80"/>
      <c r="I8" s="111">
        <f>[9]FY_Budget!N11</f>
        <v>0.39731562421943001</v>
      </c>
      <c r="J8" s="104">
        <f>(D8-G8)*I8*$G$24</f>
        <v>-48135.709979590429</v>
      </c>
      <c r="K8" s="112"/>
      <c r="L8" s="99"/>
      <c r="R8" s="2"/>
    </row>
    <row r="9" spans="2:18" x14ac:dyDescent="0.3">
      <c r="B9" s="13" t="s">
        <v>89</v>
      </c>
      <c r="C9" s="79"/>
      <c r="D9" s="84">
        <f>[9]FY_Budget!K12</f>
        <v>193.47907998159599</v>
      </c>
      <c r="E9" s="80"/>
      <c r="F9" s="79"/>
      <c r="G9" s="84">
        <f>[9]FY_Budget!O12</f>
        <v>218.48672314443101</v>
      </c>
      <c r="H9" s="80"/>
      <c r="I9" s="111">
        <f>[9]FY_Budget!N12</f>
        <v>0.27102848197245</v>
      </c>
      <c r="J9" s="104">
        <f t="shared" ref="J9:J14" si="0">(D9-G9)*I9*$G$24</f>
        <v>-47243.087583652239</v>
      </c>
      <c r="K9" s="112"/>
      <c r="L9" s="99"/>
      <c r="R9" s="2"/>
    </row>
    <row r="10" spans="2:18" x14ac:dyDescent="0.3">
      <c r="B10" s="13" t="s">
        <v>90</v>
      </c>
      <c r="C10" s="79"/>
      <c r="D10" s="84">
        <f>[9]FY_Budget!K13</f>
        <v>0</v>
      </c>
      <c r="E10" s="80"/>
      <c r="F10" s="79"/>
      <c r="G10" s="84">
        <f>[9]FY_Budget!O13</f>
        <v>0</v>
      </c>
      <c r="H10" s="80"/>
      <c r="I10" s="111">
        <f>[9]FY_Budget!N13</f>
        <v>0</v>
      </c>
      <c r="J10" s="104">
        <f>(D10-G10)*I10*$G$24</f>
        <v>0</v>
      </c>
      <c r="K10" s="112"/>
      <c r="L10" s="99"/>
      <c r="R10" s="2"/>
    </row>
    <row r="11" spans="2:18" x14ac:dyDescent="0.3">
      <c r="B11" s="13" t="s">
        <v>91</v>
      </c>
      <c r="C11" s="79"/>
      <c r="D11" s="84">
        <f>[9]FY_Budget!K14</f>
        <v>312.92944510136499</v>
      </c>
      <c r="E11" s="80"/>
      <c r="F11" s="79"/>
      <c r="G11" s="84">
        <f>[9]FY_Budget!O14</f>
        <v>340.61822721504302</v>
      </c>
      <c r="H11" s="80"/>
      <c r="I11" s="111">
        <f>[9]FY_Budget!N14</f>
        <v>1.407606697906E-2</v>
      </c>
      <c r="J11" s="104">
        <f>(D11-G11)*I11*$G$24</f>
        <v>-2716.6629223997379</v>
      </c>
      <c r="K11" s="112"/>
      <c r="L11" s="99"/>
      <c r="R11" s="2"/>
    </row>
    <row r="12" spans="2:18" x14ac:dyDescent="0.3">
      <c r="B12" s="13" t="s">
        <v>92</v>
      </c>
      <c r="C12" s="79"/>
      <c r="D12" s="84">
        <f>[9]FY_Budget!K16</f>
        <v>72.724805563142596</v>
      </c>
      <c r="E12" s="80"/>
      <c r="F12" s="79"/>
      <c r="G12" s="84">
        <f>[9]FY_Budget!O16</f>
        <v>75.803893593564496</v>
      </c>
      <c r="H12" s="80"/>
      <c r="I12" s="111">
        <f>[9]FY_Budget!N16</f>
        <v>0.50546147907213002</v>
      </c>
      <c r="J12" s="104">
        <f t="shared" si="0"/>
        <v>-10848.276508559929</v>
      </c>
      <c r="K12" s="112"/>
      <c r="L12" s="99"/>
      <c r="R12" s="2"/>
    </row>
    <row r="13" spans="2:18" x14ac:dyDescent="0.3">
      <c r="B13" s="13" t="s">
        <v>93</v>
      </c>
      <c r="C13" s="79"/>
      <c r="D13" s="84">
        <f>[9]FY_Budget!K17</f>
        <v>121.438930180537</v>
      </c>
      <c r="E13" s="80"/>
      <c r="F13" s="79"/>
      <c r="G13" s="84">
        <f>[9]FY_Budget!O17</f>
        <v>128.95792596468499</v>
      </c>
      <c r="H13" s="80"/>
      <c r="I13" s="111">
        <f>[9]FY_Budget!N17</f>
        <v>0.78699859872350997</v>
      </c>
      <c r="J13" s="104">
        <f t="shared" si="0"/>
        <v>-41246.241222815581</v>
      </c>
      <c r="K13" s="112"/>
      <c r="L13" s="99"/>
      <c r="R13" s="2"/>
    </row>
    <row r="14" spans="2:18" x14ac:dyDescent="0.3">
      <c r="B14" s="13" t="s">
        <v>94</v>
      </c>
      <c r="C14" s="79"/>
      <c r="D14" s="84">
        <f>[9]FY_Budget!K18</f>
        <v>82.183924470554302</v>
      </c>
      <c r="E14" s="80"/>
      <c r="F14" s="79"/>
      <c r="G14" s="84">
        <f>[9]FY_Budget!O18</f>
        <v>83.470247491985404</v>
      </c>
      <c r="H14" s="80"/>
      <c r="I14" s="111">
        <f>[9]FY_Budget!N18</f>
        <v>0.2207053984765</v>
      </c>
      <c r="J14" s="104">
        <f t="shared" si="0"/>
        <v>-1978.8531904776401</v>
      </c>
      <c r="K14" s="112"/>
      <c r="L14" s="99"/>
      <c r="R14" s="2"/>
    </row>
    <row r="15" spans="2:18" x14ac:dyDescent="0.3">
      <c r="B15" s="13" t="s">
        <v>95</v>
      </c>
      <c r="C15" s="79"/>
      <c r="D15" s="84"/>
      <c r="E15" s="80"/>
      <c r="F15" s="79"/>
      <c r="G15" s="84"/>
      <c r="H15" s="80"/>
      <c r="I15" s="111"/>
      <c r="J15" s="113">
        <f>'[10]Bridges IP'!$U$6*1000</f>
        <v>-12014.339143844159</v>
      </c>
      <c r="K15" s="112"/>
      <c r="L15" s="99"/>
      <c r="R15" s="2"/>
    </row>
    <row r="16" spans="2:18" x14ac:dyDescent="0.3">
      <c r="B16" s="13" t="s">
        <v>96</v>
      </c>
      <c r="C16" s="79"/>
      <c r="D16" s="84"/>
      <c r="E16" s="80"/>
      <c r="F16" s="79"/>
      <c r="G16" s="84"/>
      <c r="H16" s="80"/>
      <c r="I16" s="111"/>
      <c r="J16" s="113">
        <f>'[10]Bridges IP'!$U$7*1000</f>
        <v>-11030</v>
      </c>
      <c r="K16" s="112"/>
      <c r="L16" s="99"/>
      <c r="R16" s="2"/>
    </row>
    <row r="17" spans="2:18" x14ac:dyDescent="0.3">
      <c r="B17" s="13" t="s">
        <v>97</v>
      </c>
      <c r="C17" s="79"/>
      <c r="D17" s="84">
        <f>'[11]FCF &amp; OWCR - BUDGET'!$Z$332*1000</f>
        <v>19003.747815568138</v>
      </c>
      <c r="E17" s="80"/>
      <c r="F17" s="79"/>
      <c r="G17" s="84">
        <f>'[12]FCF &amp; OWCR - BUDGET'!$Z$332*1000</f>
        <v>25568.069540774439</v>
      </c>
      <c r="H17" s="80"/>
      <c r="I17" s="111"/>
      <c r="J17" s="104">
        <f>G17-D17</f>
        <v>6564.3217252063005</v>
      </c>
      <c r="K17" s="112"/>
      <c r="L17" s="99"/>
      <c r="R17" s="2"/>
    </row>
    <row r="18" spans="2:18" x14ac:dyDescent="0.3">
      <c r="B18" s="13" t="s">
        <v>98</v>
      </c>
      <c r="C18" s="79"/>
      <c r="D18" s="84"/>
      <c r="E18" s="80"/>
      <c r="F18" s="79"/>
      <c r="G18" s="84"/>
      <c r="H18" s="80"/>
      <c r="I18" s="111"/>
      <c r="J18" s="113">
        <f>'[10]Bridges IP'!$U$9*1000</f>
        <v>206.90204446817884</v>
      </c>
      <c r="L18" s="99"/>
      <c r="R18" s="2"/>
    </row>
    <row r="19" spans="2:18" x14ac:dyDescent="0.3">
      <c r="B19" s="13" t="s">
        <v>99</v>
      </c>
      <c r="C19" s="79"/>
      <c r="D19" s="84"/>
      <c r="E19" s="80"/>
      <c r="F19" s="79"/>
      <c r="G19" s="84"/>
      <c r="H19" s="80"/>
      <c r="I19" s="111"/>
      <c r="J19" s="113">
        <f>'[10]Bridges IP'!$U$8*1000</f>
        <v>-7030</v>
      </c>
      <c r="L19" s="99"/>
      <c r="R19" s="2"/>
    </row>
    <row r="20" spans="2:18" x14ac:dyDescent="0.3">
      <c r="B20" s="13" t="s">
        <v>100</v>
      </c>
      <c r="C20" s="79"/>
      <c r="D20" s="84"/>
      <c r="E20" s="80"/>
      <c r="F20" s="79"/>
      <c r="G20" s="84"/>
      <c r="H20" s="80"/>
      <c r="I20" s="111"/>
      <c r="J20" s="113">
        <f>'[10]Bridges IP'!$U$10*1000</f>
        <v>-2000</v>
      </c>
      <c r="L20" s="99"/>
      <c r="R20" s="2"/>
    </row>
    <row r="21" spans="2:18" x14ac:dyDescent="0.3">
      <c r="B21" s="13" t="s">
        <v>101</v>
      </c>
      <c r="C21" s="79"/>
      <c r="D21" s="55"/>
      <c r="E21" s="80"/>
      <c r="F21" s="79"/>
      <c r="G21" s="55"/>
      <c r="H21" s="80"/>
      <c r="I21" s="114"/>
      <c r="J21" s="103"/>
      <c r="L21" s="99"/>
      <c r="R21" s="2"/>
    </row>
    <row r="22" spans="2:18" x14ac:dyDescent="0.3">
      <c r="B22" s="13" t="s">
        <v>102</v>
      </c>
      <c r="C22" s="79"/>
      <c r="D22" s="55"/>
      <c r="E22" s="80"/>
      <c r="F22" s="79"/>
      <c r="G22" s="55"/>
      <c r="H22" s="80"/>
      <c r="I22" s="114"/>
      <c r="J22" s="115"/>
      <c r="L22" s="99"/>
      <c r="R22" s="2"/>
    </row>
    <row r="23" spans="2:18" x14ac:dyDescent="0.3">
      <c r="B23" s="13" t="s">
        <v>103</v>
      </c>
      <c r="C23" s="79"/>
      <c r="D23" s="55"/>
      <c r="E23" s="80"/>
      <c r="F23" s="79"/>
      <c r="G23" s="55"/>
      <c r="H23" s="80"/>
      <c r="I23" s="114"/>
      <c r="J23" s="115"/>
      <c r="L23" s="99"/>
      <c r="R23" s="2"/>
    </row>
    <row r="24" spans="2:18" ht="14.4" thickBot="1" x14ac:dyDescent="0.35">
      <c r="B24" s="13" t="s">
        <v>104</v>
      </c>
      <c r="C24" s="79"/>
      <c r="D24" s="55"/>
      <c r="E24" s="80"/>
      <c r="F24" s="79"/>
      <c r="G24" s="84">
        <f>[9]FY_Budget!$M$38/1000</f>
        <v>6970.2856600000005</v>
      </c>
      <c r="H24" s="80"/>
      <c r="I24" s="116"/>
      <c r="J24" s="117"/>
      <c r="L24" s="99"/>
      <c r="R24" s="2"/>
    </row>
    <row r="25" spans="2:18" ht="14.4" thickBot="1" x14ac:dyDescent="0.35">
      <c r="B25" s="87" t="s">
        <v>105</v>
      </c>
      <c r="C25" s="109"/>
      <c r="D25" s="89"/>
      <c r="E25" s="90"/>
      <c r="F25" s="88"/>
      <c r="G25" s="89"/>
      <c r="H25" s="90"/>
      <c r="I25" s="118"/>
      <c r="J25" s="75">
        <f>SUM(J8:J24)</f>
        <v>-177471.94678166523</v>
      </c>
      <c r="L25" s="1"/>
      <c r="R25" s="2"/>
    </row>
    <row r="26" spans="2:18" x14ac:dyDescent="0.3">
      <c r="J26" s="2"/>
      <c r="N26" s="1"/>
      <c r="O26" s="1"/>
      <c r="P26" s="1"/>
      <c r="Q26" s="1"/>
    </row>
    <row r="27" spans="2:18" x14ac:dyDescent="0.3">
      <c r="J27" s="2"/>
      <c r="N27" s="1"/>
      <c r="O27" s="1"/>
      <c r="P27" s="1"/>
      <c r="Q27" s="1"/>
    </row>
    <row r="28" spans="2:18" x14ac:dyDescent="0.3">
      <c r="J28" s="2"/>
      <c r="N28" s="1"/>
      <c r="O28" s="1"/>
      <c r="P28" s="1"/>
      <c r="Q28" s="1"/>
    </row>
    <row r="29" spans="2:18" x14ac:dyDescent="0.3">
      <c r="J29" s="2"/>
      <c r="N29" s="1"/>
      <c r="O29" s="1"/>
      <c r="P29" s="1"/>
      <c r="Q29" s="1"/>
    </row>
    <row r="30" spans="2:18" x14ac:dyDescent="0.3">
      <c r="J30" s="2"/>
      <c r="N30" s="1"/>
      <c r="O30" s="1"/>
      <c r="P30" s="1"/>
      <c r="Q30" s="1"/>
    </row>
    <row r="31" spans="2:18" x14ac:dyDescent="0.3">
      <c r="J31" s="2"/>
      <c r="N31" s="1"/>
      <c r="O31" s="1"/>
      <c r="P31" s="1"/>
      <c r="Q31" s="1"/>
    </row>
    <row r="32" spans="2:18" x14ac:dyDescent="0.3">
      <c r="J32" s="2"/>
      <c r="N32" s="1"/>
      <c r="O32" s="1"/>
      <c r="P32" s="1"/>
      <c r="Q32" s="1"/>
    </row>
    <row r="33" spans="3:17" x14ac:dyDescent="0.3">
      <c r="J33" s="2"/>
      <c r="N33" s="1"/>
      <c r="O33" s="1"/>
      <c r="P33" s="1"/>
      <c r="Q33" s="1"/>
    </row>
    <row r="34" spans="3:17" x14ac:dyDescent="0.3">
      <c r="J34" s="2"/>
      <c r="N34" s="1"/>
      <c r="O34" s="1"/>
      <c r="P34" s="1"/>
      <c r="Q34" s="1"/>
    </row>
    <row r="35" spans="3:17" x14ac:dyDescent="0.3">
      <c r="J35" s="2"/>
      <c r="N35" s="1"/>
      <c r="O35" s="1"/>
      <c r="P35" s="1"/>
      <c r="Q35" s="1"/>
    </row>
    <row r="36" spans="3:17" x14ac:dyDescent="0.3">
      <c r="J36" s="2"/>
      <c r="N36" s="1"/>
      <c r="O36" s="1"/>
      <c r="P36" s="1"/>
      <c r="Q36" s="1"/>
    </row>
    <row r="37" spans="3:17" x14ac:dyDescent="0.3">
      <c r="J37" s="2"/>
      <c r="N37" s="1"/>
      <c r="O37" s="1"/>
      <c r="P37" s="1"/>
      <c r="Q37" s="1"/>
    </row>
    <row r="38" spans="3:17" x14ac:dyDescent="0.3">
      <c r="J38" s="2"/>
      <c r="N38" s="1"/>
      <c r="O38" s="1"/>
      <c r="P38" s="1"/>
      <c r="Q38" s="1"/>
    </row>
    <row r="39" spans="3:17" x14ac:dyDescent="0.3">
      <c r="J39" s="2"/>
      <c r="N39" s="1"/>
      <c r="O39" s="1"/>
      <c r="P39" s="1"/>
      <c r="Q39" s="1"/>
    </row>
    <row r="40" spans="3:17" x14ac:dyDescent="0.3">
      <c r="J40" s="2"/>
      <c r="N40" s="1"/>
      <c r="O40" s="1"/>
      <c r="P40" s="1"/>
      <c r="Q40" s="1"/>
    </row>
    <row r="41" spans="3:17" x14ac:dyDescent="0.3">
      <c r="C41" s="143"/>
      <c r="D41" s="143"/>
      <c r="E41" s="143"/>
      <c r="F41" s="143"/>
      <c r="G41" s="143"/>
      <c r="H41" s="143"/>
    </row>
    <row r="42" spans="3:17" x14ac:dyDescent="0.3">
      <c r="C42" s="143"/>
      <c r="D42" s="143"/>
      <c r="E42" s="143"/>
      <c r="F42" s="143"/>
      <c r="G42" s="143"/>
      <c r="H42" s="143"/>
    </row>
    <row r="43" spans="3:17" x14ac:dyDescent="0.3">
      <c r="C43" s="143"/>
      <c r="D43" s="143"/>
      <c r="E43" s="143"/>
      <c r="F43" s="143"/>
      <c r="G43" s="143"/>
      <c r="H43" s="143"/>
    </row>
    <row r="44" spans="3:17" x14ac:dyDescent="0.3">
      <c r="C44" s="143"/>
      <c r="D44" s="143"/>
      <c r="E44" s="143"/>
      <c r="F44" s="143"/>
      <c r="G44" s="143"/>
      <c r="H44" s="143"/>
    </row>
    <row r="45" spans="3:17" x14ac:dyDescent="0.3">
      <c r="C45" s="143"/>
      <c r="D45" s="143"/>
      <c r="E45" s="143"/>
      <c r="F45" s="143"/>
      <c r="G45" s="143"/>
      <c r="H45" s="143"/>
    </row>
    <row r="46" spans="3:17" x14ac:dyDescent="0.3">
      <c r="C46" s="143"/>
      <c r="D46" s="143"/>
      <c r="E46" s="143"/>
      <c r="G46" s="9"/>
    </row>
    <row r="47" spans="3:17" x14ac:dyDescent="0.3">
      <c r="F47" s="9"/>
      <c r="G47" s="9"/>
      <c r="H47" s="9"/>
    </row>
    <row r="48" spans="3:17" x14ac:dyDescent="0.3">
      <c r="C48" s="143"/>
      <c r="D48" s="143"/>
      <c r="E48" s="143"/>
      <c r="F48" s="143"/>
      <c r="G48" s="143"/>
      <c r="H48" s="143"/>
    </row>
    <row r="49" spans="1:18" x14ac:dyDescent="0.3">
      <c r="C49" s="143"/>
      <c r="D49" s="143"/>
      <c r="E49" s="143"/>
      <c r="F49" s="143"/>
      <c r="G49" s="143"/>
      <c r="H49" s="143"/>
    </row>
    <row r="50" spans="1:18" x14ac:dyDescent="0.3">
      <c r="C50" s="143"/>
      <c r="D50" s="143"/>
      <c r="E50" s="143"/>
      <c r="F50" s="143"/>
      <c r="G50" s="143"/>
      <c r="H50" s="143"/>
    </row>
    <row r="51" spans="1:18" x14ac:dyDescent="0.3">
      <c r="C51" s="143"/>
      <c r="D51" s="143"/>
      <c r="E51" s="143"/>
      <c r="F51" s="143"/>
      <c r="G51" s="143"/>
      <c r="H51" s="143"/>
    </row>
    <row r="52" spans="1:18" x14ac:dyDescent="0.3">
      <c r="C52" s="143"/>
      <c r="D52" s="143"/>
      <c r="E52" s="143"/>
      <c r="F52" s="143"/>
      <c r="G52" s="143"/>
      <c r="H52" s="143"/>
    </row>
    <row r="53" spans="1:18" x14ac:dyDescent="0.3">
      <c r="C53" s="143"/>
      <c r="D53" s="143"/>
      <c r="E53" s="143"/>
      <c r="F53" s="143"/>
      <c r="G53" s="143"/>
      <c r="H53" s="143"/>
    </row>
    <row r="54" spans="1:18" x14ac:dyDescent="0.3">
      <c r="C54" s="143"/>
      <c r="D54" s="143"/>
      <c r="E54" s="143"/>
      <c r="F54" s="143"/>
      <c r="G54" s="143"/>
      <c r="H54" s="143"/>
    </row>
    <row r="55" spans="1:18" x14ac:dyDescent="0.3">
      <c r="C55" s="143"/>
      <c r="D55" s="143"/>
      <c r="E55" s="143"/>
      <c r="F55" s="143"/>
      <c r="G55" s="143"/>
      <c r="H55" s="143"/>
    </row>
    <row r="56" spans="1:18" x14ac:dyDescent="0.3">
      <c r="C56" s="143"/>
      <c r="D56" s="143"/>
      <c r="E56" s="143"/>
      <c r="F56" s="143"/>
      <c r="G56" s="143"/>
      <c r="H56" s="143"/>
    </row>
    <row r="57" spans="1:18" x14ac:dyDescent="0.3">
      <c r="C57" s="143"/>
      <c r="D57" s="143"/>
      <c r="E57" s="143"/>
      <c r="F57" s="143"/>
      <c r="G57" s="143"/>
      <c r="H57" s="143"/>
    </row>
    <row r="58" spans="1:18" s="2" customFormat="1" x14ac:dyDescent="0.3">
      <c r="A58" s="1"/>
      <c r="B58" s="1"/>
      <c r="C58" s="143"/>
      <c r="D58" s="143"/>
      <c r="E58" s="143"/>
      <c r="F58" s="143"/>
      <c r="G58" s="143"/>
      <c r="H58" s="143"/>
      <c r="I58" s="1"/>
      <c r="J58" s="1"/>
      <c r="K58" s="1"/>
      <c r="R58" s="1"/>
    </row>
    <row r="59" spans="1:18" s="2" customFormat="1" x14ac:dyDescent="0.3">
      <c r="A59" s="1"/>
      <c r="B59" s="1"/>
      <c r="C59" s="143"/>
      <c r="D59" s="143"/>
      <c r="E59" s="143"/>
      <c r="F59" s="143"/>
      <c r="G59" s="143"/>
      <c r="H59" s="143"/>
      <c r="I59" s="1"/>
      <c r="J59" s="1"/>
      <c r="K59" s="1"/>
      <c r="R59" s="1"/>
    </row>
    <row r="60" spans="1:18" s="2" customFormat="1" x14ac:dyDescent="0.3">
      <c r="A60" s="1"/>
      <c r="B60" s="1"/>
      <c r="C60" s="143"/>
      <c r="D60" s="143"/>
      <c r="E60" s="143"/>
      <c r="F60" s="143"/>
      <c r="G60" s="143"/>
      <c r="H60" s="143"/>
      <c r="I60" s="1"/>
      <c r="J60" s="1"/>
      <c r="K60" s="1"/>
      <c r="O60" s="2" t="e">
        <f>#REF!</f>
        <v>#REF!</v>
      </c>
      <c r="R60" s="1"/>
    </row>
    <row r="61" spans="1:18" s="2" customFormat="1" x14ac:dyDescent="0.3">
      <c r="A61" s="1"/>
      <c r="B61" s="1"/>
      <c r="C61" s="143"/>
      <c r="D61" s="143"/>
      <c r="E61" s="143"/>
      <c r="F61" s="143"/>
      <c r="G61" s="143"/>
      <c r="H61" s="143"/>
      <c r="I61" s="1"/>
      <c r="J61" s="1"/>
      <c r="K61" s="1"/>
      <c r="O61" s="2" t="s">
        <v>136</v>
      </c>
      <c r="R61" s="1"/>
    </row>
    <row r="62" spans="1:18" s="2" customFormat="1" x14ac:dyDescent="0.3">
      <c r="A62" s="1"/>
      <c r="B62" s="1"/>
      <c r="C62" s="143"/>
      <c r="D62" s="143"/>
      <c r="E62" s="143"/>
      <c r="F62" s="143"/>
      <c r="G62" s="143"/>
      <c r="H62" s="143"/>
      <c r="I62" s="1"/>
      <c r="J62" s="1"/>
      <c r="K62" s="1"/>
      <c r="R62" s="1"/>
    </row>
    <row r="63" spans="1:18" s="2" customFormat="1" x14ac:dyDescent="0.3">
      <c r="A63" s="1"/>
      <c r="B63" s="1"/>
      <c r="C63" s="143"/>
      <c r="D63" s="143"/>
      <c r="E63" s="143"/>
      <c r="F63" s="144"/>
      <c r="G63" s="143"/>
      <c r="H63" s="144"/>
      <c r="I63" s="1"/>
      <c r="J63" s="1"/>
      <c r="K63" s="1"/>
      <c r="R63" s="1"/>
    </row>
  </sheetData>
  <pageMargins left="0.19685039370078741" right="0.19685039370078741" top="0.19685039370078741" bottom="0.19685039370078741" header="0.19685039370078741" footer="0"/>
  <pageSetup paperSize="9" scale="2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C6A0-97D3-4879-9DC3-5D24B9FC6CCF}">
  <sheetPr>
    <pageSetUpPr fitToPage="1"/>
  </sheetPr>
  <dimension ref="A2:R54"/>
  <sheetViews>
    <sheetView showGridLines="0" zoomScale="80" zoomScaleNormal="80" workbookViewId="0">
      <selection activeCell="B5" sqref="B5"/>
    </sheetView>
  </sheetViews>
  <sheetFormatPr defaultColWidth="9.44140625" defaultRowHeight="13.8" x14ac:dyDescent="0.3"/>
  <cols>
    <col min="1" max="1" width="5.5546875" style="1" customWidth="1"/>
    <col min="2" max="2" width="32" style="1" customWidth="1"/>
    <col min="3" max="3" width="13.44140625" style="1" bestFit="1" customWidth="1"/>
    <col min="4" max="4" width="9.44140625" style="1" customWidth="1"/>
    <col min="5" max="5" width="16.44140625" style="1" bestFit="1" customWidth="1"/>
    <col min="6" max="6" width="13.44140625" style="1" bestFit="1" customWidth="1"/>
    <col min="7" max="7" width="14.44140625" style="1" bestFit="1" customWidth="1"/>
    <col min="8" max="8" width="16.44140625" style="1" bestFit="1" customWidth="1"/>
    <col min="9" max="9" width="10.5546875" style="1" customWidth="1"/>
    <col min="10" max="10" width="14.5546875" style="1" customWidth="1"/>
    <col min="11" max="11" width="16.5546875" style="1" bestFit="1" customWidth="1"/>
    <col min="12" max="12" width="13.44140625" style="2" bestFit="1" customWidth="1"/>
    <col min="13" max="13" width="14.44140625" style="2" customWidth="1"/>
    <col min="14" max="14" width="10.44140625" style="2" bestFit="1" customWidth="1"/>
    <col min="15" max="15" width="14.44140625" style="2" bestFit="1" customWidth="1"/>
    <col min="16" max="16" width="11.5546875" style="2" customWidth="1"/>
    <col min="17" max="17" width="17.5546875" style="2" customWidth="1"/>
    <col min="18" max="18" width="6.5546875" style="1" bestFit="1" customWidth="1"/>
    <col min="19" max="16384" width="9.44140625" style="1"/>
  </cols>
  <sheetData>
    <row r="2" spans="2:18" x14ac:dyDescent="0.3">
      <c r="B2" s="1" t="s">
        <v>144</v>
      </c>
    </row>
    <row r="3" spans="2:18" x14ac:dyDescent="0.3">
      <c r="B3" s="1" t="s">
        <v>145</v>
      </c>
    </row>
    <row r="4" spans="2:18" x14ac:dyDescent="0.3">
      <c r="B4" s="1" t="s">
        <v>146</v>
      </c>
    </row>
    <row r="6" spans="2:18" x14ac:dyDescent="0.3">
      <c r="C6" s="6" t="s">
        <v>0</v>
      </c>
      <c r="H6" s="7"/>
      <c r="J6" s="8"/>
    </row>
    <row r="7" spans="2:18" x14ac:dyDescent="0.3">
      <c r="B7" s="76" t="s">
        <v>17</v>
      </c>
      <c r="C7" s="79"/>
      <c r="D7" s="84"/>
      <c r="E7" s="80"/>
      <c r="F7" s="79"/>
      <c r="G7" s="84"/>
      <c r="H7" s="80"/>
      <c r="I7" s="111"/>
      <c r="J7" s="104" t="s">
        <v>17</v>
      </c>
      <c r="L7" s="1"/>
      <c r="R7" s="2"/>
    </row>
    <row r="8" spans="2:18" x14ac:dyDescent="0.3">
      <c r="B8" s="13"/>
      <c r="C8" s="79"/>
      <c r="D8" s="84"/>
      <c r="E8" s="80"/>
      <c r="F8" s="79"/>
      <c r="G8" s="84"/>
      <c r="H8" s="80"/>
      <c r="I8" s="111"/>
      <c r="J8" s="104">
        <f>'[10]Bridges complementares'!$F$17*1000</f>
        <v>-12829.343372386798</v>
      </c>
      <c r="L8" s="1"/>
      <c r="R8" s="2"/>
    </row>
    <row r="9" spans="2:18" x14ac:dyDescent="0.3">
      <c r="N9" s="1"/>
      <c r="O9" s="1"/>
      <c r="P9" s="1"/>
      <c r="Q9" s="1"/>
    </row>
    <row r="10" spans="2:18" x14ac:dyDescent="0.3">
      <c r="N10" s="1"/>
      <c r="O10" s="1"/>
      <c r="P10" s="1"/>
      <c r="Q10" s="1"/>
    </row>
    <row r="11" spans="2:18" x14ac:dyDescent="0.3">
      <c r="J11" s="2"/>
      <c r="N11" s="1"/>
      <c r="O11" s="1"/>
      <c r="P11" s="1"/>
      <c r="Q11" s="1"/>
    </row>
    <row r="12" spans="2:18" x14ac:dyDescent="0.3">
      <c r="J12" s="2"/>
      <c r="N12" s="1"/>
      <c r="O12" s="1"/>
      <c r="P12" s="1"/>
      <c r="Q12" s="1"/>
    </row>
    <row r="13" spans="2:18" x14ac:dyDescent="0.3">
      <c r="J13" s="2"/>
      <c r="N13" s="1"/>
      <c r="O13" s="1"/>
      <c r="P13" s="1"/>
      <c r="Q13" s="1"/>
    </row>
    <row r="14" spans="2:18" x14ac:dyDescent="0.3">
      <c r="J14" s="2"/>
      <c r="N14" s="1"/>
      <c r="O14" s="1"/>
      <c r="P14" s="1"/>
      <c r="Q14" s="1"/>
    </row>
    <row r="15" spans="2:18" x14ac:dyDescent="0.3">
      <c r="J15" s="2"/>
      <c r="N15" s="1"/>
      <c r="O15" s="1"/>
      <c r="P15" s="1"/>
      <c r="Q15" s="1"/>
    </row>
    <row r="16" spans="2:18" x14ac:dyDescent="0.3">
      <c r="J16" s="2"/>
      <c r="N16" s="1"/>
      <c r="O16" s="1"/>
      <c r="P16" s="1"/>
      <c r="Q16" s="1"/>
    </row>
    <row r="17" spans="3:17" x14ac:dyDescent="0.3">
      <c r="J17" s="2"/>
      <c r="N17" s="1"/>
      <c r="O17" s="1"/>
      <c r="P17" s="1"/>
      <c r="Q17" s="1"/>
    </row>
    <row r="18" spans="3:17" x14ac:dyDescent="0.3">
      <c r="J18" s="2"/>
      <c r="N18" s="1"/>
      <c r="O18" s="1"/>
      <c r="P18" s="1"/>
      <c r="Q18" s="1"/>
    </row>
    <row r="19" spans="3:17" x14ac:dyDescent="0.3">
      <c r="J19" s="2"/>
      <c r="N19" s="1"/>
      <c r="O19" s="1"/>
      <c r="P19" s="1"/>
      <c r="Q19" s="1"/>
    </row>
    <row r="20" spans="3:17" x14ac:dyDescent="0.3">
      <c r="J20" s="2"/>
      <c r="N20" s="1"/>
      <c r="O20" s="1"/>
      <c r="P20" s="1"/>
      <c r="Q20" s="1"/>
    </row>
    <row r="21" spans="3:17" x14ac:dyDescent="0.3">
      <c r="J21" s="2"/>
      <c r="N21" s="1"/>
      <c r="O21" s="1"/>
      <c r="P21" s="1"/>
      <c r="Q21" s="1"/>
    </row>
    <row r="22" spans="3:17" x14ac:dyDescent="0.3">
      <c r="J22" s="2"/>
      <c r="N22" s="1"/>
      <c r="O22" s="1"/>
      <c r="P22" s="1"/>
      <c r="Q22" s="1"/>
    </row>
    <row r="23" spans="3:17" x14ac:dyDescent="0.3">
      <c r="J23" s="2"/>
      <c r="N23" s="1"/>
      <c r="O23" s="1"/>
      <c r="P23" s="1"/>
      <c r="Q23" s="1"/>
    </row>
    <row r="24" spans="3:17" x14ac:dyDescent="0.3">
      <c r="J24" s="2"/>
      <c r="N24" s="1"/>
      <c r="O24" s="1"/>
      <c r="P24" s="1"/>
      <c r="Q24" s="1"/>
    </row>
    <row r="25" spans="3:17" x14ac:dyDescent="0.3">
      <c r="J25" s="2"/>
      <c r="N25" s="1"/>
      <c r="O25" s="1"/>
      <c r="P25" s="1"/>
      <c r="Q25" s="1"/>
    </row>
    <row r="26" spans="3:17" x14ac:dyDescent="0.3">
      <c r="J26" s="2"/>
      <c r="N26" s="1"/>
      <c r="O26" s="1"/>
      <c r="P26" s="1"/>
      <c r="Q26" s="1"/>
    </row>
    <row r="27" spans="3:17" x14ac:dyDescent="0.3">
      <c r="J27" s="2"/>
      <c r="N27" s="1"/>
      <c r="O27" s="1"/>
      <c r="P27" s="1"/>
      <c r="Q27" s="1"/>
    </row>
    <row r="28" spans="3:17" x14ac:dyDescent="0.3">
      <c r="J28" s="2"/>
      <c r="N28" s="1"/>
      <c r="O28" s="1"/>
      <c r="P28" s="1"/>
      <c r="Q28" s="1"/>
    </row>
    <row r="29" spans="3:17" x14ac:dyDescent="0.3">
      <c r="J29" s="2"/>
      <c r="N29" s="1"/>
      <c r="O29" s="1"/>
      <c r="P29" s="1"/>
      <c r="Q29" s="1"/>
    </row>
    <row r="30" spans="3:17" x14ac:dyDescent="0.3">
      <c r="J30" s="2"/>
      <c r="N30" s="1"/>
      <c r="O30" s="1"/>
      <c r="P30" s="1"/>
      <c r="Q30" s="1"/>
    </row>
    <row r="31" spans="3:17" x14ac:dyDescent="0.3">
      <c r="J31" s="2"/>
      <c r="N31" s="1"/>
      <c r="O31" s="1"/>
      <c r="P31" s="1"/>
      <c r="Q31" s="1"/>
    </row>
    <row r="32" spans="3:17" x14ac:dyDescent="0.3">
      <c r="C32" s="143"/>
      <c r="D32" s="143"/>
      <c r="E32" s="143"/>
      <c r="F32" s="143"/>
      <c r="G32" s="143"/>
      <c r="H32" s="143"/>
    </row>
    <row r="33" spans="3:8" x14ac:dyDescent="0.3">
      <c r="C33" s="143"/>
      <c r="D33" s="143"/>
      <c r="E33" s="143"/>
      <c r="F33" s="143"/>
      <c r="G33" s="143"/>
      <c r="H33" s="143"/>
    </row>
    <row r="34" spans="3:8" x14ac:dyDescent="0.3">
      <c r="C34" s="143"/>
      <c r="D34" s="143"/>
      <c r="E34" s="143"/>
      <c r="F34" s="143"/>
      <c r="G34" s="143"/>
      <c r="H34" s="143"/>
    </row>
    <row r="35" spans="3:8" x14ac:dyDescent="0.3">
      <c r="C35" s="143"/>
      <c r="D35" s="143"/>
      <c r="E35" s="143"/>
      <c r="F35" s="143"/>
      <c r="G35" s="143"/>
      <c r="H35" s="143"/>
    </row>
    <row r="36" spans="3:8" x14ac:dyDescent="0.3">
      <c r="C36" s="143"/>
      <c r="D36" s="143"/>
      <c r="E36" s="143"/>
      <c r="F36" s="143"/>
      <c r="G36" s="143"/>
      <c r="H36" s="143"/>
    </row>
    <row r="37" spans="3:8" x14ac:dyDescent="0.3">
      <c r="C37" s="143"/>
      <c r="D37" s="143"/>
      <c r="E37" s="143"/>
      <c r="G37" s="9"/>
    </row>
    <row r="38" spans="3:8" x14ac:dyDescent="0.3">
      <c r="F38" s="9"/>
      <c r="G38" s="9"/>
      <c r="H38" s="9"/>
    </row>
    <row r="39" spans="3:8" x14ac:dyDescent="0.3">
      <c r="C39" s="143"/>
      <c r="D39" s="143"/>
      <c r="E39" s="143"/>
      <c r="F39" s="143"/>
      <c r="G39" s="143"/>
      <c r="H39" s="143"/>
    </row>
    <row r="40" spans="3:8" x14ac:dyDescent="0.3">
      <c r="C40" s="143"/>
      <c r="D40" s="143"/>
      <c r="E40" s="143"/>
      <c r="F40" s="143"/>
      <c r="G40" s="143"/>
      <c r="H40" s="143"/>
    </row>
    <row r="41" spans="3:8" x14ac:dyDescent="0.3">
      <c r="C41" s="143"/>
      <c r="D41" s="143"/>
      <c r="E41" s="143"/>
      <c r="F41" s="143"/>
      <c r="G41" s="143"/>
      <c r="H41" s="143"/>
    </row>
    <row r="42" spans="3:8" x14ac:dyDescent="0.3">
      <c r="C42" s="143"/>
      <c r="D42" s="143"/>
      <c r="E42" s="143"/>
      <c r="F42" s="143"/>
      <c r="G42" s="143"/>
      <c r="H42" s="143"/>
    </row>
    <row r="43" spans="3:8" x14ac:dyDescent="0.3">
      <c r="C43" s="143"/>
      <c r="D43" s="143"/>
      <c r="E43" s="143"/>
      <c r="F43" s="143"/>
      <c r="G43" s="143"/>
      <c r="H43" s="143"/>
    </row>
    <row r="44" spans="3:8" x14ac:dyDescent="0.3">
      <c r="C44" s="143"/>
      <c r="D44" s="143"/>
      <c r="E44" s="143"/>
      <c r="F44" s="143"/>
      <c r="G44" s="143"/>
      <c r="H44" s="143"/>
    </row>
    <row r="45" spans="3:8" x14ac:dyDescent="0.3">
      <c r="C45" s="143"/>
      <c r="D45" s="143"/>
      <c r="E45" s="143"/>
      <c r="F45" s="143"/>
      <c r="G45" s="143"/>
      <c r="H45" s="143"/>
    </row>
    <row r="46" spans="3:8" x14ac:dyDescent="0.3">
      <c r="C46" s="143"/>
      <c r="D46" s="143"/>
      <c r="E46" s="143"/>
      <c r="F46" s="143"/>
      <c r="G46" s="143"/>
      <c r="H46" s="143"/>
    </row>
    <row r="47" spans="3:8" x14ac:dyDescent="0.3">
      <c r="C47" s="143"/>
      <c r="D47" s="143"/>
      <c r="E47" s="143"/>
      <c r="F47" s="143"/>
      <c r="G47" s="143"/>
      <c r="H47" s="143"/>
    </row>
    <row r="48" spans="3:8" x14ac:dyDescent="0.3">
      <c r="C48" s="143"/>
      <c r="D48" s="143"/>
      <c r="E48" s="143"/>
      <c r="F48" s="143"/>
      <c r="G48" s="143"/>
      <c r="H48" s="143"/>
    </row>
    <row r="49" spans="1:18" s="2" customFormat="1" x14ac:dyDescent="0.3">
      <c r="A49" s="1"/>
      <c r="B49" s="1"/>
      <c r="C49" s="143"/>
      <c r="D49" s="143"/>
      <c r="E49" s="143"/>
      <c r="F49" s="143"/>
      <c r="G49" s="143"/>
      <c r="H49" s="143"/>
      <c r="I49" s="1"/>
      <c r="J49" s="1"/>
      <c r="K49" s="1"/>
      <c r="R49" s="1"/>
    </row>
    <row r="50" spans="1:18" s="2" customFormat="1" x14ac:dyDescent="0.3">
      <c r="A50" s="1"/>
      <c r="B50" s="1"/>
      <c r="C50" s="143"/>
      <c r="D50" s="143"/>
      <c r="E50" s="143"/>
      <c r="F50" s="143"/>
      <c r="G50" s="143"/>
      <c r="H50" s="143"/>
      <c r="I50" s="1"/>
      <c r="J50" s="1"/>
      <c r="K50" s="1"/>
      <c r="R50" s="1"/>
    </row>
    <row r="51" spans="1:18" s="2" customFormat="1" x14ac:dyDescent="0.3">
      <c r="A51" s="1"/>
      <c r="B51" s="1"/>
      <c r="C51" s="143"/>
      <c r="D51" s="143"/>
      <c r="E51" s="143"/>
      <c r="F51" s="143"/>
      <c r="G51" s="143"/>
      <c r="H51" s="143"/>
      <c r="I51" s="1"/>
      <c r="J51" s="1"/>
      <c r="K51" s="1"/>
      <c r="O51" s="2" t="e">
        <f>#REF!</f>
        <v>#REF!</v>
      </c>
      <c r="R51" s="1"/>
    </row>
    <row r="52" spans="1:18" s="2" customFormat="1" x14ac:dyDescent="0.3">
      <c r="A52" s="1"/>
      <c r="B52" s="1"/>
      <c r="C52" s="143"/>
      <c r="D52" s="143"/>
      <c r="E52" s="143"/>
      <c r="F52" s="143"/>
      <c r="G52" s="143"/>
      <c r="H52" s="143"/>
      <c r="I52" s="1"/>
      <c r="J52" s="1"/>
      <c r="K52" s="1"/>
      <c r="O52" s="2" t="s">
        <v>136</v>
      </c>
      <c r="R52" s="1"/>
    </row>
    <row r="53" spans="1:18" s="2" customFormat="1" x14ac:dyDescent="0.3">
      <c r="A53" s="1"/>
      <c r="B53" s="1"/>
      <c r="C53" s="143"/>
      <c r="D53" s="143"/>
      <c r="E53" s="143"/>
      <c r="F53" s="143"/>
      <c r="G53" s="143"/>
      <c r="H53" s="143"/>
      <c r="I53" s="1"/>
      <c r="J53" s="1"/>
      <c r="K53" s="1"/>
      <c r="R53" s="1"/>
    </row>
    <row r="54" spans="1:18" s="2" customFormat="1" x14ac:dyDescent="0.3">
      <c r="A54" s="1"/>
      <c r="B54" s="1"/>
      <c r="C54" s="143"/>
      <c r="D54" s="143"/>
      <c r="E54" s="143"/>
      <c r="F54" s="144"/>
      <c r="G54" s="143"/>
      <c r="H54" s="144"/>
      <c r="I54" s="1"/>
      <c r="J54" s="1"/>
      <c r="K54" s="1"/>
      <c r="R54" s="1"/>
    </row>
  </sheetData>
  <pageMargins left="0.19685039370078741" right="0.19685039370078741" top="0.19685039370078741" bottom="0.19685039370078741" header="0.19685039370078741" footer="0"/>
  <pageSetup paperSize="9" scale="2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05CC-5B36-4660-998C-892ACEDAEA85}">
  <sheetPr>
    <pageSetUpPr fitToPage="1"/>
  </sheetPr>
  <dimension ref="A3:R65"/>
  <sheetViews>
    <sheetView showGridLines="0" zoomScale="80" zoomScaleNormal="80" workbookViewId="0">
      <selection activeCell="E21" sqref="E21"/>
    </sheetView>
  </sheetViews>
  <sheetFormatPr defaultColWidth="9.44140625" defaultRowHeight="13.8" x14ac:dyDescent="0.3"/>
  <cols>
    <col min="1" max="1" width="5.5546875" style="1" customWidth="1"/>
    <col min="2" max="2" width="32" style="1" customWidth="1"/>
    <col min="3" max="3" width="13.44140625" style="1" bestFit="1" customWidth="1"/>
    <col min="4" max="4" width="9.44140625" style="1" customWidth="1"/>
    <col min="5" max="5" width="16.44140625" style="1" bestFit="1" customWidth="1"/>
    <col min="6" max="6" width="13.44140625" style="1" bestFit="1" customWidth="1"/>
    <col min="7" max="7" width="14.44140625" style="1" bestFit="1" customWidth="1"/>
    <col min="8" max="8" width="16.44140625" style="1" bestFit="1" customWidth="1"/>
    <col min="9" max="9" width="10.5546875" style="1" customWidth="1"/>
    <col min="10" max="10" width="14.5546875" style="1" customWidth="1"/>
    <col min="11" max="11" width="16.5546875" style="1" bestFit="1" customWidth="1"/>
    <col min="12" max="12" width="13.44140625" style="2" bestFit="1" customWidth="1"/>
    <col min="13" max="13" width="14.44140625" style="2" customWidth="1"/>
    <col min="14" max="14" width="10.44140625" style="2" bestFit="1" customWidth="1"/>
    <col min="15" max="15" width="14.44140625" style="2" bestFit="1" customWidth="1"/>
    <col min="16" max="16" width="11.5546875" style="2" customWidth="1"/>
    <col min="17" max="17" width="17.5546875" style="2" customWidth="1"/>
    <col min="18" max="18" width="6.5546875" style="1" bestFit="1" customWidth="1"/>
    <col min="19" max="16384" width="9.44140625" style="1"/>
  </cols>
  <sheetData>
    <row r="3" spans="2:18" x14ac:dyDescent="0.3">
      <c r="B3" s="1" t="s">
        <v>141</v>
      </c>
    </row>
    <row r="4" spans="2:18" x14ac:dyDescent="0.3">
      <c r="B4" s="1" t="s">
        <v>145</v>
      </c>
    </row>
    <row r="5" spans="2:18" ht="14.4" thickBot="1" x14ac:dyDescent="0.35"/>
    <row r="6" spans="2:18" x14ac:dyDescent="0.3">
      <c r="B6" s="76" t="s">
        <v>74</v>
      </c>
      <c r="C6" s="95"/>
      <c r="D6" s="96"/>
      <c r="E6" s="78" t="s">
        <v>30</v>
      </c>
      <c r="F6" s="97"/>
      <c r="G6" s="98"/>
      <c r="H6" s="78" t="s">
        <v>30</v>
      </c>
      <c r="I6" s="16" t="s">
        <v>75</v>
      </c>
      <c r="J6" s="16" t="s">
        <v>76</v>
      </c>
      <c r="L6" s="99"/>
      <c r="R6" s="2"/>
    </row>
    <row r="7" spans="2:18" x14ac:dyDescent="0.3">
      <c r="B7" s="13" t="s">
        <v>77</v>
      </c>
      <c r="C7" s="100"/>
      <c r="D7" s="81"/>
      <c r="E7" s="56">
        <f>[8]FYB26xFYMRF7!$D$9+[8]FYB26xFYMRF7!$D$35</f>
        <v>290502.46044270345</v>
      </c>
      <c r="F7" s="101"/>
      <c r="G7" s="102"/>
      <c r="H7" s="56">
        <f>[8]FYB26xFYMRF7!$G$9+[8]FYB26xFYMRF7!$G$35</f>
        <v>335945.75819845067</v>
      </c>
      <c r="I7" s="103">
        <f>H7*($H$16/$E$16-1)</f>
        <v>-14075.790740054203</v>
      </c>
      <c r="J7" s="104">
        <f>E7-H7-I7</f>
        <v>-31367.507015693016</v>
      </c>
      <c r="L7" s="99"/>
      <c r="R7" s="2"/>
    </row>
    <row r="8" spans="2:18" x14ac:dyDescent="0.3">
      <c r="B8" s="13" t="s">
        <v>78</v>
      </c>
      <c r="C8" s="100"/>
      <c r="D8" s="81"/>
      <c r="E8" s="56">
        <f>[8]FYB26xFYMRF7!$D$10</f>
        <v>162910.37548555571</v>
      </c>
      <c r="F8" s="101"/>
      <c r="G8" s="102"/>
      <c r="H8" s="56">
        <f>[8]FYB26xFYMRF7!$G$10</f>
        <v>173542.33833959477</v>
      </c>
      <c r="I8" s="103">
        <f t="shared" ref="I8:I14" si="0">H8*($H$16/$E$16-1)</f>
        <v>-7271.2501330790346</v>
      </c>
      <c r="J8" s="104">
        <f t="shared" ref="J8:J15" si="1">E8-H8-I8</f>
        <v>-3360.7127209600349</v>
      </c>
      <c r="L8" s="99"/>
      <c r="R8" s="2"/>
    </row>
    <row r="9" spans="2:18" x14ac:dyDescent="0.3">
      <c r="B9" s="13" t="s">
        <v>79</v>
      </c>
      <c r="C9" s="100"/>
      <c r="D9" s="81"/>
      <c r="E9" s="56">
        <f>[8]FYB26xFYMRF7!$D$11</f>
        <v>455.31968888888878</v>
      </c>
      <c r="F9" s="101"/>
      <c r="G9" s="102"/>
      <c r="H9" s="56">
        <f>[8]FYB26xFYMRF7!$G$11</f>
        <v>476.59812750037719</v>
      </c>
      <c r="I9" s="103"/>
      <c r="J9" s="104">
        <f t="shared" si="1"/>
        <v>-21.278438611488411</v>
      </c>
      <c r="L9" s="99"/>
      <c r="R9" s="2"/>
    </row>
    <row r="10" spans="2:18" x14ac:dyDescent="0.3">
      <c r="B10" s="13" t="s">
        <v>80</v>
      </c>
      <c r="C10" s="100"/>
      <c r="D10" s="81"/>
      <c r="E10" s="56">
        <f>[8]FYB26xFYMRF7!$D$12+[8]FYB26xFYMRF7!$D$34</f>
        <v>36445.369559722225</v>
      </c>
      <c r="F10" s="101"/>
      <c r="G10" s="102"/>
      <c r="H10" s="56">
        <f>[8]FYB26xFYMRF7!$G$12+[8]FYB26xFYMRF7!$G$34</f>
        <v>39799.933372505184</v>
      </c>
      <c r="I10" s="103">
        <f t="shared" si="0"/>
        <v>-1667.5773393410459</v>
      </c>
      <c r="J10" s="104">
        <f>E10-H10-I10</f>
        <v>-1686.9864734419129</v>
      </c>
      <c r="L10" s="99"/>
      <c r="R10" s="2"/>
    </row>
    <row r="11" spans="2:18" x14ac:dyDescent="0.3">
      <c r="B11" s="13" t="s">
        <v>81</v>
      </c>
      <c r="C11" s="100"/>
      <c r="D11" s="81"/>
      <c r="E11" s="56">
        <f>[8]FYB26xFYMRF7!$D$13</f>
        <v>4329.6571425925922</v>
      </c>
      <c r="F11" s="101"/>
      <c r="G11" s="102"/>
      <c r="H11" s="56">
        <f>[8]FYB26xFYMRF7!$G$13</f>
        <v>4366.7997161010962</v>
      </c>
      <c r="I11" s="103"/>
      <c r="J11" s="104">
        <f t="shared" si="1"/>
        <v>-37.142573508504029</v>
      </c>
      <c r="L11" s="99"/>
      <c r="R11" s="2"/>
    </row>
    <row r="12" spans="2:18" x14ac:dyDescent="0.3">
      <c r="B12" s="13" t="s">
        <v>82</v>
      </c>
      <c r="C12" s="100"/>
      <c r="D12" s="81"/>
      <c r="E12" s="56">
        <f>[8]FYB26xFYMRF7!$D$14</f>
        <v>0</v>
      </c>
      <c r="F12" s="101"/>
      <c r="G12" s="102"/>
      <c r="H12" s="56">
        <f>[8]FYB26xFYMRF7!$G$14</f>
        <v>0</v>
      </c>
      <c r="I12" s="103">
        <f t="shared" si="0"/>
        <v>0</v>
      </c>
      <c r="J12" s="104">
        <f t="shared" si="1"/>
        <v>0</v>
      </c>
      <c r="L12" s="99"/>
      <c r="R12" s="2"/>
    </row>
    <row r="13" spans="2:18" x14ac:dyDescent="0.3">
      <c r="B13" s="13" t="s">
        <v>83</v>
      </c>
      <c r="C13" s="100"/>
      <c r="D13" s="81"/>
      <c r="E13" s="56">
        <f>[8]FYB26xFYMRF7!$D$15</f>
        <v>3800.2258148148148</v>
      </c>
      <c r="F13" s="101"/>
      <c r="G13" s="102"/>
      <c r="H13" s="56">
        <f>[8]FYB26xFYMRF7!$G$15</f>
        <v>4339.9682851539674</v>
      </c>
      <c r="I13" s="103"/>
      <c r="J13" s="104">
        <f t="shared" si="1"/>
        <v>-539.74247033915253</v>
      </c>
      <c r="L13" s="99"/>
      <c r="R13" s="2"/>
    </row>
    <row r="14" spans="2:18" x14ac:dyDescent="0.3">
      <c r="B14" s="13" t="s">
        <v>84</v>
      </c>
      <c r="C14" s="100"/>
      <c r="D14" s="81"/>
      <c r="E14" s="56">
        <f>[8]FYB26xFYMRF7!$D$16</f>
        <v>133766.87453033309</v>
      </c>
      <c r="F14" s="101"/>
      <c r="G14" s="102"/>
      <c r="H14" s="56">
        <f>[8]FYB26xFYMRF7!$G$16</f>
        <v>137770.91554820424</v>
      </c>
      <c r="I14" s="103">
        <f t="shared" si="0"/>
        <v>-5772.4633515886026</v>
      </c>
      <c r="J14" s="104">
        <f t="shared" si="1"/>
        <v>1768.4223337174562</v>
      </c>
      <c r="L14" s="99"/>
      <c r="R14" s="2"/>
    </row>
    <row r="15" spans="2:18" x14ac:dyDescent="0.3">
      <c r="B15" s="13" t="s">
        <v>85</v>
      </c>
      <c r="C15" s="100"/>
      <c r="D15" s="81"/>
      <c r="E15" s="56">
        <f>[8]FYB26xFYMRF7!$D$17</f>
        <v>57260.893387037046</v>
      </c>
      <c r="F15" s="101"/>
      <c r="G15" s="102"/>
      <c r="H15" s="56">
        <f>[8]FYB26xFYMRF7!$G$17</f>
        <v>56306.50454336941</v>
      </c>
      <c r="I15" s="103"/>
      <c r="J15" s="104">
        <f t="shared" si="1"/>
        <v>954.38884366763523</v>
      </c>
      <c r="L15" s="99"/>
      <c r="R15" s="2"/>
    </row>
    <row r="16" spans="2:18" ht="14.4" thickBot="1" x14ac:dyDescent="0.35">
      <c r="B16" s="13" t="s">
        <v>4</v>
      </c>
      <c r="C16" s="79"/>
      <c r="D16" s="55"/>
      <c r="E16" s="105">
        <f>[8]FYB26xFYMRF7!$B$23</f>
        <v>5.4000000000000012</v>
      </c>
      <c r="F16" s="106"/>
      <c r="G16" s="107"/>
      <c r="H16" s="105">
        <f>[8]FYB26xFYMRF7!$B$24</f>
        <v>5.1737454093663775</v>
      </c>
      <c r="I16" s="108"/>
      <c r="J16" s="108"/>
      <c r="K16" s="24"/>
      <c r="L16" s="24"/>
      <c r="R16" s="2"/>
    </row>
    <row r="17" spans="2:18" ht="14.4" thickBot="1" x14ac:dyDescent="0.35">
      <c r="B17" s="87" t="s">
        <v>86</v>
      </c>
      <c r="C17" s="109"/>
      <c r="D17" s="89"/>
      <c r="E17" s="90">
        <f>SUM(E7:E15)</f>
        <v>689471.17605164787</v>
      </c>
      <c r="F17" s="88"/>
      <c r="G17" s="89"/>
      <c r="H17" s="90">
        <f>SUM(H7:H15)</f>
        <v>752548.8161308798</v>
      </c>
      <c r="I17" s="110">
        <f>SUM(I7:I15)</f>
        <v>-28787.081564062883</v>
      </c>
      <c r="J17" s="110">
        <f>SUM(J7:J15)</f>
        <v>-34290.558515169017</v>
      </c>
      <c r="L17" s="99"/>
      <c r="R17" s="2"/>
    </row>
    <row r="18" spans="2:18" x14ac:dyDescent="0.3">
      <c r="L18" s="99"/>
      <c r="M18" s="99"/>
    </row>
    <row r="19" spans="2:18" x14ac:dyDescent="0.3">
      <c r="N19" s="1"/>
      <c r="O19" s="1"/>
      <c r="P19" s="1"/>
      <c r="Q19" s="1"/>
    </row>
    <row r="20" spans="2:18" x14ac:dyDescent="0.3">
      <c r="N20" s="1"/>
      <c r="O20" s="1"/>
      <c r="P20" s="1"/>
      <c r="Q20" s="1"/>
    </row>
    <row r="21" spans="2:18" x14ac:dyDescent="0.3">
      <c r="N21" s="1"/>
      <c r="O21" s="1"/>
      <c r="P21" s="1"/>
      <c r="Q21" s="1"/>
    </row>
    <row r="22" spans="2:18" x14ac:dyDescent="0.3">
      <c r="J22" s="2"/>
      <c r="N22" s="1"/>
      <c r="O22" s="1"/>
      <c r="P22" s="1"/>
      <c r="Q22" s="1"/>
    </row>
    <row r="23" spans="2:18" x14ac:dyDescent="0.3">
      <c r="J23" s="2"/>
      <c r="N23" s="1"/>
      <c r="O23" s="1"/>
      <c r="P23" s="1"/>
      <c r="Q23" s="1"/>
    </row>
    <row r="24" spans="2:18" x14ac:dyDescent="0.3">
      <c r="J24" s="2"/>
      <c r="N24" s="1"/>
      <c r="O24" s="1"/>
      <c r="P24" s="1"/>
      <c r="Q24" s="1"/>
    </row>
    <row r="25" spans="2:18" x14ac:dyDescent="0.3">
      <c r="J25" s="2"/>
      <c r="N25" s="1"/>
      <c r="O25" s="1"/>
      <c r="P25" s="1"/>
      <c r="Q25" s="1"/>
    </row>
    <row r="26" spans="2:18" x14ac:dyDescent="0.3">
      <c r="J26" s="2"/>
      <c r="N26" s="1"/>
      <c r="O26" s="1"/>
      <c r="P26" s="1"/>
      <c r="Q26" s="1"/>
    </row>
    <row r="27" spans="2:18" x14ac:dyDescent="0.3">
      <c r="J27" s="2"/>
      <c r="N27" s="1"/>
      <c r="O27" s="1"/>
      <c r="P27" s="1"/>
      <c r="Q27" s="1"/>
    </row>
    <row r="28" spans="2:18" x14ac:dyDescent="0.3">
      <c r="J28" s="2"/>
      <c r="N28" s="1"/>
      <c r="O28" s="1"/>
      <c r="P28" s="1"/>
      <c r="Q28" s="1"/>
    </row>
    <row r="29" spans="2:18" x14ac:dyDescent="0.3">
      <c r="J29" s="2"/>
      <c r="N29" s="1"/>
      <c r="O29" s="1"/>
      <c r="P29" s="1"/>
      <c r="Q29" s="1"/>
    </row>
    <row r="30" spans="2:18" x14ac:dyDescent="0.3">
      <c r="J30" s="2"/>
      <c r="N30" s="1"/>
      <c r="O30" s="1"/>
      <c r="P30" s="1"/>
      <c r="Q30" s="1"/>
    </row>
    <row r="31" spans="2:18" x14ac:dyDescent="0.3">
      <c r="J31" s="2"/>
      <c r="N31" s="1"/>
      <c r="O31" s="1"/>
      <c r="P31" s="1"/>
      <c r="Q31" s="1"/>
    </row>
    <row r="32" spans="2:18" x14ac:dyDescent="0.3">
      <c r="J32" s="2"/>
      <c r="N32" s="1"/>
      <c r="O32" s="1"/>
      <c r="P32" s="1"/>
      <c r="Q32" s="1"/>
    </row>
    <row r="33" spans="3:17" x14ac:dyDescent="0.3">
      <c r="J33" s="2"/>
      <c r="N33" s="1"/>
      <c r="O33" s="1"/>
      <c r="P33" s="1"/>
      <c r="Q33" s="1"/>
    </row>
    <row r="34" spans="3:17" x14ac:dyDescent="0.3">
      <c r="J34" s="2"/>
      <c r="N34" s="1"/>
      <c r="O34" s="1"/>
      <c r="P34" s="1"/>
      <c r="Q34" s="1"/>
    </row>
    <row r="35" spans="3:17" x14ac:dyDescent="0.3">
      <c r="J35" s="2"/>
      <c r="N35" s="1"/>
      <c r="O35" s="1"/>
      <c r="P35" s="1"/>
      <c r="Q35" s="1"/>
    </row>
    <row r="36" spans="3:17" x14ac:dyDescent="0.3">
      <c r="J36" s="2"/>
      <c r="N36" s="1"/>
      <c r="O36" s="1"/>
      <c r="P36" s="1"/>
      <c r="Q36" s="1"/>
    </row>
    <row r="37" spans="3:17" x14ac:dyDescent="0.3">
      <c r="J37" s="2"/>
      <c r="N37" s="1"/>
      <c r="O37" s="1"/>
      <c r="P37" s="1"/>
      <c r="Q37" s="1"/>
    </row>
    <row r="38" spans="3:17" x14ac:dyDescent="0.3">
      <c r="J38" s="2"/>
      <c r="N38" s="1"/>
      <c r="O38" s="1"/>
      <c r="P38" s="1"/>
      <c r="Q38" s="1"/>
    </row>
    <row r="39" spans="3:17" x14ac:dyDescent="0.3">
      <c r="J39" s="2"/>
      <c r="N39" s="1"/>
      <c r="O39" s="1"/>
      <c r="P39" s="1"/>
      <c r="Q39" s="1"/>
    </row>
    <row r="40" spans="3:17" x14ac:dyDescent="0.3">
      <c r="J40" s="2"/>
      <c r="N40" s="1"/>
      <c r="O40" s="1"/>
      <c r="P40" s="1"/>
      <c r="Q40" s="1"/>
    </row>
    <row r="41" spans="3:17" x14ac:dyDescent="0.3">
      <c r="J41" s="2"/>
      <c r="N41" s="1"/>
      <c r="O41" s="1"/>
      <c r="P41" s="1"/>
      <c r="Q41" s="1"/>
    </row>
    <row r="42" spans="3:17" x14ac:dyDescent="0.3">
      <c r="J42" s="2"/>
      <c r="N42" s="1"/>
      <c r="O42" s="1"/>
      <c r="P42" s="1"/>
      <c r="Q42" s="1"/>
    </row>
    <row r="43" spans="3:17" x14ac:dyDescent="0.3">
      <c r="C43" s="143"/>
      <c r="D43" s="143"/>
      <c r="E43" s="143"/>
      <c r="F43" s="143"/>
      <c r="G43" s="143"/>
      <c r="H43" s="143"/>
    </row>
    <row r="44" spans="3:17" x14ac:dyDescent="0.3">
      <c r="C44" s="143"/>
      <c r="D44" s="143"/>
      <c r="E44" s="143"/>
      <c r="F44" s="143"/>
      <c r="G44" s="143"/>
      <c r="H44" s="143"/>
    </row>
    <row r="45" spans="3:17" x14ac:dyDescent="0.3">
      <c r="C45" s="143"/>
      <c r="D45" s="143"/>
      <c r="E45" s="143"/>
      <c r="F45" s="143"/>
      <c r="G45" s="143"/>
      <c r="H45" s="143"/>
    </row>
    <row r="46" spans="3:17" x14ac:dyDescent="0.3">
      <c r="C46" s="143"/>
      <c r="D46" s="143"/>
      <c r="E46" s="143"/>
      <c r="F46" s="143"/>
      <c r="G46" s="143"/>
      <c r="H46" s="143"/>
    </row>
    <row r="47" spans="3:17" x14ac:dyDescent="0.3">
      <c r="C47" s="143"/>
      <c r="D47" s="143"/>
      <c r="E47" s="143"/>
      <c r="F47" s="143"/>
      <c r="G47" s="143"/>
      <c r="H47" s="143"/>
    </row>
    <row r="48" spans="3:17" x14ac:dyDescent="0.3">
      <c r="C48" s="143"/>
      <c r="D48" s="143"/>
      <c r="E48" s="143"/>
      <c r="G48" s="9"/>
    </row>
    <row r="49" spans="1:18" x14ac:dyDescent="0.3">
      <c r="F49" s="9"/>
      <c r="G49" s="9"/>
      <c r="H49" s="9"/>
    </row>
    <row r="50" spans="1:18" x14ac:dyDescent="0.3">
      <c r="C50" s="143"/>
      <c r="D50" s="143"/>
      <c r="E50" s="143"/>
      <c r="F50" s="143"/>
      <c r="G50" s="143"/>
      <c r="H50" s="143"/>
    </row>
    <row r="51" spans="1:18" x14ac:dyDescent="0.3">
      <c r="C51" s="143"/>
      <c r="D51" s="143"/>
      <c r="E51" s="143"/>
      <c r="F51" s="143"/>
      <c r="G51" s="143"/>
      <c r="H51" s="143"/>
    </row>
    <row r="52" spans="1:18" x14ac:dyDescent="0.3">
      <c r="C52" s="143"/>
      <c r="D52" s="143"/>
      <c r="E52" s="143"/>
      <c r="F52" s="143"/>
      <c r="G52" s="143"/>
      <c r="H52" s="143"/>
    </row>
    <row r="53" spans="1:18" x14ac:dyDescent="0.3">
      <c r="C53" s="143"/>
      <c r="D53" s="143"/>
      <c r="E53" s="143"/>
      <c r="F53" s="143"/>
      <c r="G53" s="143"/>
      <c r="H53" s="143"/>
    </row>
    <row r="54" spans="1:18" x14ac:dyDescent="0.3">
      <c r="C54" s="143"/>
      <c r="D54" s="143"/>
      <c r="E54" s="143"/>
      <c r="F54" s="143"/>
      <c r="G54" s="143"/>
      <c r="H54" s="143"/>
    </row>
    <row r="55" spans="1:18" x14ac:dyDescent="0.3">
      <c r="C55" s="143"/>
      <c r="D55" s="143"/>
      <c r="E55" s="143"/>
      <c r="F55" s="143"/>
      <c r="G55" s="143"/>
      <c r="H55" s="143"/>
    </row>
    <row r="56" spans="1:18" x14ac:dyDescent="0.3">
      <c r="C56" s="143"/>
      <c r="D56" s="143"/>
      <c r="E56" s="143"/>
      <c r="F56" s="143"/>
      <c r="G56" s="143"/>
      <c r="H56" s="143"/>
    </row>
    <row r="57" spans="1:18" x14ac:dyDescent="0.3">
      <c r="C57" s="143"/>
      <c r="D57" s="143"/>
      <c r="E57" s="143"/>
      <c r="F57" s="143"/>
      <c r="G57" s="143"/>
      <c r="H57" s="143"/>
    </row>
    <row r="58" spans="1:18" x14ac:dyDescent="0.3">
      <c r="C58" s="143"/>
      <c r="D58" s="143"/>
      <c r="E58" s="143"/>
      <c r="F58" s="143"/>
      <c r="G58" s="143"/>
      <c r="H58" s="143"/>
    </row>
    <row r="59" spans="1:18" x14ac:dyDescent="0.3">
      <c r="C59" s="143"/>
      <c r="D59" s="143"/>
      <c r="E59" s="143"/>
      <c r="F59" s="143"/>
      <c r="G59" s="143"/>
      <c r="H59" s="143"/>
    </row>
    <row r="60" spans="1:18" s="2" customFormat="1" x14ac:dyDescent="0.3">
      <c r="A60" s="1"/>
      <c r="B60" s="1"/>
      <c r="C60" s="143"/>
      <c r="D60" s="143"/>
      <c r="E60" s="143"/>
      <c r="F60" s="143"/>
      <c r="G60" s="143"/>
      <c r="H60" s="143"/>
      <c r="I60" s="1"/>
      <c r="J60" s="1"/>
      <c r="K60" s="1"/>
      <c r="R60" s="1"/>
    </row>
    <row r="61" spans="1:18" s="2" customFormat="1" x14ac:dyDescent="0.3">
      <c r="A61" s="1"/>
      <c r="B61" s="1"/>
      <c r="C61" s="143"/>
      <c r="D61" s="143"/>
      <c r="E61" s="143"/>
      <c r="F61" s="143"/>
      <c r="G61" s="143"/>
      <c r="H61" s="143"/>
      <c r="I61" s="1"/>
      <c r="J61" s="1"/>
      <c r="K61" s="1"/>
      <c r="R61" s="1"/>
    </row>
    <row r="62" spans="1:18" s="2" customFormat="1" x14ac:dyDescent="0.3">
      <c r="A62" s="1"/>
      <c r="B62" s="1"/>
      <c r="C62" s="143"/>
      <c r="D62" s="143"/>
      <c r="E62" s="143"/>
      <c r="F62" s="143"/>
      <c r="G62" s="143"/>
      <c r="H62" s="143"/>
      <c r="I62" s="1"/>
      <c r="J62" s="1"/>
      <c r="K62" s="1"/>
      <c r="O62" s="2" t="e">
        <f>#REF!</f>
        <v>#REF!</v>
      </c>
      <c r="R62" s="1"/>
    </row>
    <row r="63" spans="1:18" s="2" customFormat="1" x14ac:dyDescent="0.3">
      <c r="A63" s="1"/>
      <c r="B63" s="1"/>
      <c r="C63" s="143"/>
      <c r="D63" s="143"/>
      <c r="E63" s="143"/>
      <c r="F63" s="143"/>
      <c r="G63" s="143"/>
      <c r="H63" s="143"/>
      <c r="I63" s="1"/>
      <c r="J63" s="1"/>
      <c r="K63" s="1"/>
      <c r="O63" s="2" t="s">
        <v>136</v>
      </c>
      <c r="R63" s="1"/>
    </row>
    <row r="64" spans="1:18" s="2" customFormat="1" x14ac:dyDescent="0.3">
      <c r="A64" s="1"/>
      <c r="B64" s="1"/>
      <c r="C64" s="143"/>
      <c r="D64" s="143"/>
      <c r="E64" s="143"/>
      <c r="F64" s="143"/>
      <c r="G64" s="143"/>
      <c r="H64" s="143"/>
      <c r="I64" s="1"/>
      <c r="J64" s="1"/>
      <c r="K64" s="1"/>
      <c r="R64" s="1"/>
    </row>
    <row r="65" spans="1:18" s="2" customFormat="1" x14ac:dyDescent="0.3">
      <c r="A65" s="1"/>
      <c r="B65" s="1"/>
      <c r="C65" s="143"/>
      <c r="D65" s="143"/>
      <c r="E65" s="143"/>
      <c r="F65" s="144"/>
      <c r="G65" s="143"/>
      <c r="H65" s="144"/>
      <c r="I65" s="1"/>
      <c r="J65" s="1"/>
      <c r="K65" s="1"/>
      <c r="R65" s="1"/>
    </row>
  </sheetData>
  <pageMargins left="0.19685039370078741" right="0.19685039370078741" top="0.19685039370078741" bottom="0.19685039370078741" header="0.19685039370078741" footer="0"/>
  <pageSetup paperSize="9" scale="2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862E-A3F1-42DE-966B-AA8055606716}">
  <sheetPr>
    <pageSetUpPr fitToPage="1"/>
  </sheetPr>
  <dimension ref="A2:R116"/>
  <sheetViews>
    <sheetView showGridLines="0" topLeftCell="A24" zoomScale="80" zoomScaleNormal="80" workbookViewId="0">
      <selection activeCell="L60" sqref="L60"/>
    </sheetView>
  </sheetViews>
  <sheetFormatPr defaultColWidth="9.44140625" defaultRowHeight="13.8" x14ac:dyDescent="0.3"/>
  <cols>
    <col min="1" max="1" width="5.5546875" style="1" customWidth="1"/>
    <col min="2" max="2" width="32" style="1" customWidth="1"/>
    <col min="3" max="3" width="13.44140625" style="1" bestFit="1" customWidth="1"/>
    <col min="4" max="4" width="9.44140625" style="1" customWidth="1"/>
    <col min="5" max="5" width="16.44140625" style="1" bestFit="1" customWidth="1"/>
    <col min="6" max="6" width="13.44140625" style="1" bestFit="1" customWidth="1"/>
    <col min="7" max="7" width="14.44140625" style="1" bestFit="1" customWidth="1"/>
    <col min="8" max="8" width="16.44140625" style="1" bestFit="1" customWidth="1"/>
    <col min="9" max="9" width="10.5546875" style="1" customWidth="1"/>
    <col min="10" max="10" width="14.5546875" style="1" customWidth="1"/>
    <col min="11" max="11" width="16.5546875" style="1" bestFit="1" customWidth="1"/>
    <col min="12" max="12" width="13.44140625" style="2" bestFit="1" customWidth="1"/>
    <col min="13" max="13" width="14.44140625" style="2" customWidth="1"/>
    <col min="14" max="14" width="10.44140625" style="2" bestFit="1" customWidth="1"/>
    <col min="15" max="15" width="14.44140625" style="2" bestFit="1" customWidth="1"/>
    <col min="16" max="16" width="11.5546875" style="2" customWidth="1"/>
    <col min="17" max="17" width="17.5546875" style="2" customWidth="1"/>
    <col min="18" max="18" width="6.5546875" style="1" bestFit="1" customWidth="1"/>
    <col min="19" max="16384" width="9.44140625" style="1"/>
  </cols>
  <sheetData>
    <row r="2" spans="2:17" ht="14.4" thickBot="1" x14ac:dyDescent="0.35">
      <c r="C2" s="6" t="s">
        <v>0</v>
      </c>
      <c r="H2" s="7"/>
      <c r="J2" s="8"/>
    </row>
    <row r="3" spans="2:17" ht="14.4" thickBot="1" x14ac:dyDescent="0.35">
      <c r="B3" s="10" t="str">
        <f>"EBITDA "&amp;D15</f>
        <v>EBITDA FY26'B</v>
      </c>
      <c r="C3" s="11">
        <f>[1]DRE!$O$30/1000</f>
        <v>632.04404452987512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 spans="2:17" x14ac:dyDescent="0.3">
      <c r="B4" s="13" t="s">
        <v>4</v>
      </c>
      <c r="C4" s="14"/>
      <c r="E4" s="1" t="s">
        <v>147</v>
      </c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x14ac:dyDescent="0.3">
      <c r="B5" s="13" t="s">
        <v>5</v>
      </c>
      <c r="C5" s="14"/>
      <c r="H5" s="7"/>
      <c r="I5" s="7"/>
      <c r="J5" s="7"/>
      <c r="K5" s="7"/>
      <c r="L5" s="7"/>
      <c r="M5" s="7"/>
      <c r="N5" s="7"/>
      <c r="O5" s="7"/>
      <c r="P5" s="7"/>
      <c r="Q5" s="7"/>
    </row>
    <row r="6" spans="2:17" x14ac:dyDescent="0.3">
      <c r="B6" s="13" t="s">
        <v>10</v>
      </c>
      <c r="C6" s="14"/>
      <c r="H6" s="7"/>
      <c r="I6" s="7"/>
      <c r="J6" s="7"/>
      <c r="K6" s="7"/>
      <c r="L6" s="7"/>
      <c r="M6" s="7"/>
      <c r="N6" s="7"/>
      <c r="O6" s="7"/>
      <c r="P6" s="7"/>
      <c r="Q6" s="7"/>
    </row>
    <row r="7" spans="2:17" x14ac:dyDescent="0.3">
      <c r="B7" s="13" t="s">
        <v>12</v>
      </c>
      <c r="C7" s="14"/>
      <c r="H7" s="7"/>
      <c r="I7" s="7"/>
      <c r="J7" s="7"/>
      <c r="K7" s="7"/>
      <c r="L7" s="7"/>
      <c r="M7" s="7"/>
      <c r="N7" s="7"/>
      <c r="O7" s="7"/>
      <c r="P7" s="7"/>
      <c r="Q7" s="7"/>
    </row>
    <row r="8" spans="2:17" x14ac:dyDescent="0.3">
      <c r="B8" s="13" t="s">
        <v>14</v>
      </c>
      <c r="C8" s="14"/>
      <c r="H8" s="7"/>
      <c r="I8" s="7"/>
      <c r="J8" s="7"/>
      <c r="K8" s="7"/>
      <c r="L8" s="7"/>
      <c r="M8" s="7"/>
      <c r="N8" s="7"/>
      <c r="O8" s="7"/>
      <c r="P8" s="7"/>
      <c r="Q8" s="7"/>
    </row>
    <row r="9" spans="2:17" x14ac:dyDescent="0.3">
      <c r="B9" s="13" t="s">
        <v>16</v>
      </c>
      <c r="C9" s="14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x14ac:dyDescent="0.3">
      <c r="B10" s="13" t="s">
        <v>17</v>
      </c>
      <c r="C10" s="14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2:17" x14ac:dyDescent="0.3">
      <c r="B11" s="13" t="s">
        <v>19</v>
      </c>
      <c r="C11" s="14"/>
      <c r="H11" s="24"/>
      <c r="I11" s="7"/>
      <c r="J11" s="7"/>
      <c r="K11" s="7"/>
      <c r="L11" s="7"/>
      <c r="M11" s="7"/>
      <c r="N11" s="7"/>
      <c r="O11" s="7"/>
      <c r="P11" s="7"/>
      <c r="Q11" s="7"/>
    </row>
    <row r="12" spans="2:17" x14ac:dyDescent="0.3">
      <c r="B12" s="25" t="s">
        <v>21</v>
      </c>
      <c r="C12" s="26"/>
      <c r="H12" s="24"/>
      <c r="I12" s="7"/>
      <c r="J12" s="7"/>
      <c r="K12" s="7"/>
      <c r="L12" s="7"/>
      <c r="M12" s="7"/>
      <c r="N12" s="7"/>
      <c r="O12" s="7"/>
      <c r="P12" s="7"/>
      <c r="Q12" s="7"/>
    </row>
    <row r="13" spans="2:17" ht="14.4" thickBot="1" x14ac:dyDescent="0.35">
      <c r="B13" s="30" t="str">
        <f>"EBITDA "&amp;G15</f>
        <v>EBITDA FY26'F7</v>
      </c>
      <c r="C13" s="11">
        <f>[2]DRE!$O$30/1000</f>
        <v>747.69240087677792</v>
      </c>
      <c r="D13" s="31"/>
      <c r="E13" s="32"/>
      <c r="F13" s="33">
        <f>F48-F14</f>
        <v>0</v>
      </c>
      <c r="G13" s="33"/>
      <c r="H13" s="33"/>
      <c r="J13" s="7"/>
      <c r="K13" s="7"/>
      <c r="L13" s="7"/>
    </row>
    <row r="14" spans="2:17" ht="14.4" thickBot="1" x14ac:dyDescent="0.35">
      <c r="B14" s="36"/>
      <c r="C14" s="37">
        <f>'[3]Shipments &amp; Prices'!$O$8*1000-C48</f>
        <v>-0.37999999988824129</v>
      </c>
      <c r="D14" s="38"/>
      <c r="E14" s="39">
        <f>E48-'[3]Shipments &amp; Prices'!$O$234</f>
        <v>0.1558373998850584</v>
      </c>
      <c r="F14" s="37">
        <f>'[4]Shipments &amp; Prices'!$O$20*1000</f>
        <v>7106558.4866279857</v>
      </c>
      <c r="G14" s="40"/>
      <c r="H14" s="41">
        <f>'[4]Shipments &amp; Prices'!$O$234-H48</f>
        <v>0</v>
      </c>
      <c r="I14" s="36"/>
      <c r="J14" s="7"/>
      <c r="K14" s="7"/>
      <c r="L14" s="7"/>
    </row>
    <row r="15" spans="2:17" ht="14.4" thickBot="1" x14ac:dyDescent="0.35">
      <c r="B15" s="36"/>
      <c r="C15" s="44"/>
      <c r="D15" s="45" t="s">
        <v>25</v>
      </c>
      <c r="E15" s="46"/>
      <c r="F15" s="47"/>
      <c r="G15" s="45" t="s">
        <v>26</v>
      </c>
      <c r="H15" s="48"/>
      <c r="K15" s="49"/>
      <c r="N15" s="50"/>
      <c r="O15" s="50"/>
      <c r="P15" s="50"/>
      <c r="Q15" s="50"/>
    </row>
    <row r="16" spans="2:17" x14ac:dyDescent="0.3">
      <c r="B16" s="51" t="s">
        <v>27</v>
      </c>
      <c r="C16" s="52" t="s">
        <v>28</v>
      </c>
      <c r="D16" s="53" t="s">
        <v>29</v>
      </c>
      <c r="E16" s="17" t="s">
        <v>30</v>
      </c>
      <c r="F16" s="52" t="s">
        <v>28</v>
      </c>
      <c r="G16" s="53" t="s">
        <v>29</v>
      </c>
      <c r="H16" s="17" t="s">
        <v>30</v>
      </c>
      <c r="I16" s="16" t="s">
        <v>31</v>
      </c>
      <c r="J16" s="17" t="s">
        <v>32</v>
      </c>
      <c r="K16" s="17" t="s">
        <v>33</v>
      </c>
      <c r="L16" s="17" t="s">
        <v>34</v>
      </c>
      <c r="M16" s="17" t="s">
        <v>9</v>
      </c>
      <c r="O16" s="16" t="s">
        <v>33</v>
      </c>
      <c r="P16" s="17" t="s">
        <v>9</v>
      </c>
      <c r="Q16" s="17" t="s">
        <v>4</v>
      </c>
    </row>
    <row r="17" spans="2:18" x14ac:dyDescent="0.3">
      <c r="B17" s="13" t="s">
        <v>35</v>
      </c>
      <c r="C17" s="54">
        <f>'[3]Shipments &amp; Prices'!$O$23*1000</f>
        <v>961000</v>
      </c>
      <c r="D17" s="55">
        <f t="shared" ref="D17:D45" si="0">IF(ISERROR((+E17/C17)*1000),0,(+E17/C17)*1000)</f>
        <v>521.6467174857612</v>
      </c>
      <c r="E17" s="56">
        <f>'[3]Shipments &amp; Prices'!$O$237</f>
        <v>501302.49550381646</v>
      </c>
      <c r="F17" s="54">
        <f>'[4]Shipments &amp; Prices'!$O$23*1000</f>
        <v>966247.86999999988</v>
      </c>
      <c r="G17" s="55">
        <f t="shared" ref="G17:G46" si="1">IF(ISERROR((+H17/F17)*1000),0,(+H17/F17)*1000)</f>
        <v>611.98900059572838</v>
      </c>
      <c r="H17" s="56">
        <f>'[4]Shipments &amp; Prices'!$O$237</f>
        <v>591333.06828905118</v>
      </c>
      <c r="I17" s="18">
        <f t="shared" ref="I17:I47" si="2">(F17-J17)*D17/1000</f>
        <v>11455.528703057071</v>
      </c>
      <c r="J17" s="18">
        <f t="shared" ref="J17:J47" si="3">$F$48*C17/$C$48</f>
        <v>944287.5502681504</v>
      </c>
      <c r="K17" s="18">
        <f>G17-D17</f>
        <v>90.342283109967184</v>
      </c>
      <c r="L17" s="57"/>
      <c r="M17" s="19">
        <f>K17*F17/1000</f>
        <v>87293.038625942747</v>
      </c>
      <c r="O17" s="18">
        <f t="shared" ref="O17:O47" si="4">G17-D17</f>
        <v>90.342283109967184</v>
      </c>
      <c r="P17" s="19">
        <f t="shared" ref="P17:P47" si="5">O17*F17/1000</f>
        <v>87293.038625942747</v>
      </c>
      <c r="Q17" s="19">
        <f t="shared" ref="Q17:Q47" si="6">P17-M17</f>
        <v>0</v>
      </c>
    </row>
    <row r="18" spans="2:18" x14ac:dyDescent="0.3">
      <c r="B18" s="13" t="s">
        <v>36</v>
      </c>
      <c r="C18" s="54">
        <f>[5]TUBARÃO_VEGA!$O$614*1000</f>
        <v>400000</v>
      </c>
      <c r="D18" s="55">
        <f t="shared" si="0"/>
        <v>444.57400371677562</v>
      </c>
      <c r="E18" s="56">
        <f>[5]TUBARÃO_VEGA!$O$626</f>
        <v>177829.60148671025</v>
      </c>
      <c r="F18" s="54">
        <f>'[4]Shipments &amp; Prices'!$O$614*1000</f>
        <v>997327.08221481298</v>
      </c>
      <c r="G18" s="55">
        <f t="shared" si="1"/>
        <v>516.61738349209077</v>
      </c>
      <c r="H18" s="56">
        <f>'[4]Shipments &amp; Prices'!$O$626</f>
        <v>515236.507699618</v>
      </c>
      <c r="I18" s="18">
        <f t="shared" si="2"/>
        <v>268648.67131956422</v>
      </c>
      <c r="J18" s="18">
        <f t="shared" si="3"/>
        <v>393043.72539777332</v>
      </c>
      <c r="K18" s="18">
        <f>G18-D18</f>
        <v>72.043379775315145</v>
      </c>
      <c r="L18" s="57"/>
      <c r="M18" s="19">
        <f>K18*F18/1000</f>
        <v>71850.813744208717</v>
      </c>
      <c r="O18" s="18">
        <f t="shared" si="4"/>
        <v>72.043379775315145</v>
      </c>
      <c r="P18" s="19">
        <f t="shared" si="5"/>
        <v>71850.813744208717</v>
      </c>
      <c r="Q18" s="19">
        <f t="shared" si="6"/>
        <v>0</v>
      </c>
    </row>
    <row r="19" spans="2:18" x14ac:dyDescent="0.3">
      <c r="B19" s="13" t="s">
        <v>37</v>
      </c>
      <c r="C19" s="54">
        <f>[5]TUBARÃO_VEGA!$O$615*1000</f>
        <v>1423164.3800000001</v>
      </c>
      <c r="D19" s="55">
        <f t="shared" si="0"/>
        <v>453.28100142169086</v>
      </c>
      <c r="E19" s="56">
        <f>[5]TUBARÃO_VEGA!$O$627</f>
        <v>645093.37535407988</v>
      </c>
      <c r="F19" s="54">
        <f>'[4]Shipments &amp; Prices'!$O$615*1000</f>
        <v>874385.0420000006</v>
      </c>
      <c r="G19" s="55">
        <f t="shared" si="1"/>
        <v>520.32299177246705</v>
      </c>
      <c r="H19" s="56">
        <f>'[4]Shipments &amp; Prices'!$O$627</f>
        <v>454962.64101453451</v>
      </c>
      <c r="I19" s="18">
        <f t="shared" si="2"/>
        <v>-237532.63123057163</v>
      </c>
      <c r="J19" s="18">
        <f t="shared" si="3"/>
        <v>1398414.5744215308</v>
      </c>
      <c r="K19" s="18">
        <f>G19-D19</f>
        <v>67.041990350776189</v>
      </c>
      <c r="L19" s="57"/>
      <c r="M19" s="19">
        <f>K19*F19/1000</f>
        <v>58620.513548627074</v>
      </c>
      <c r="O19" s="18">
        <f t="shared" si="4"/>
        <v>67.041990350776189</v>
      </c>
      <c r="P19" s="19">
        <f t="shared" si="5"/>
        <v>58620.513548627074</v>
      </c>
      <c r="Q19" s="19">
        <f t="shared" si="6"/>
        <v>0</v>
      </c>
    </row>
    <row r="20" spans="2:18" x14ac:dyDescent="0.3">
      <c r="B20" s="13" t="s">
        <v>38</v>
      </c>
      <c r="C20" s="54">
        <f>'[3]Shipments &amp; Prices'!$O$25*1000</f>
        <v>31000.000000000004</v>
      </c>
      <c r="D20" s="55">
        <f t="shared" si="0"/>
        <v>451.10153901713392</v>
      </c>
      <c r="E20" s="56">
        <f>'[3]Shipments &amp; Prices'!$O$239</f>
        <v>13984.147709531153</v>
      </c>
      <c r="F20" s="54">
        <f>'[4]Shipments &amp; Prices'!$O$25*1000</f>
        <v>32424.16</v>
      </c>
      <c r="G20" s="55">
        <f t="shared" si="1"/>
        <v>464.42370858452688</v>
      </c>
      <c r="H20" s="56">
        <f>'[4]Shipments &amp; Prices'!$O$239</f>
        <v>15058.548634938072</v>
      </c>
      <c r="I20" s="18">
        <f t="shared" si="2"/>
        <v>885.6346966706335</v>
      </c>
      <c r="J20" s="18">
        <f t="shared" si="3"/>
        <v>30460.888718327438</v>
      </c>
      <c r="K20" s="57"/>
      <c r="L20" s="18">
        <f>(G20*$H$52)-(D20*$E$52)</f>
        <v>-31.991604487952372</v>
      </c>
      <c r="M20" s="21">
        <f>L20*F20/1000/$E$52</f>
        <v>-192.0927597359418</v>
      </c>
      <c r="O20" s="18">
        <f t="shared" si="4"/>
        <v>13.322169567392962</v>
      </c>
      <c r="P20" s="21">
        <f t="shared" si="5"/>
        <v>431.96015760028018</v>
      </c>
      <c r="Q20" s="21">
        <f t="shared" si="6"/>
        <v>624.05291733622198</v>
      </c>
    </row>
    <row r="21" spans="2:18" x14ac:dyDescent="0.3">
      <c r="B21" s="13" t="s">
        <v>39</v>
      </c>
      <c r="C21" s="54">
        <f>'[3]Shipments &amp; Prices'!$O$28*1000</f>
        <v>18000</v>
      </c>
      <c r="D21" s="55">
        <f t="shared" si="0"/>
        <v>685.40017271724957</v>
      </c>
      <c r="E21" s="56">
        <f>'[3]Shipments &amp; Prices'!$O$242</f>
        <v>12337.203108910493</v>
      </c>
      <c r="F21" s="54">
        <f>'[4]Shipments &amp; Prices'!$O$28*1000</f>
        <v>16529.159999999996</v>
      </c>
      <c r="G21" s="55">
        <f t="shared" si="1"/>
        <v>700.72228280710522</v>
      </c>
      <c r="H21" s="56">
        <f>'[4]Shipments &amp; Prices'!$O$242</f>
        <v>11582.350728083889</v>
      </c>
      <c r="I21" s="18">
        <f t="shared" si="2"/>
        <v>-793.56155841687644</v>
      </c>
      <c r="J21" s="18">
        <f t="shared" si="3"/>
        <v>17686.967642899799</v>
      </c>
      <c r="K21" s="57"/>
      <c r="L21" s="18">
        <f>(G21*$H$52)-(D21*$E$52)</f>
        <v>-74.07213465471068</v>
      </c>
      <c r="M21" s="21">
        <f>L21*F21/1000/$E$52</f>
        <v>-226.73151208319578</v>
      </c>
      <c r="O21" s="18">
        <f t="shared" si="4"/>
        <v>15.322110089855641</v>
      </c>
      <c r="P21" s="21">
        <f t="shared" si="5"/>
        <v>253.26160921283824</v>
      </c>
      <c r="Q21" s="21">
        <f t="shared" si="6"/>
        <v>479.99312129603402</v>
      </c>
    </row>
    <row r="22" spans="2:18" x14ac:dyDescent="0.3">
      <c r="B22" s="13" t="s">
        <v>40</v>
      </c>
      <c r="C22" s="54">
        <f>'[3]Shipments &amp; Prices'!$O$30*1000</f>
        <v>433467</v>
      </c>
      <c r="D22" s="55">
        <f t="shared" si="0"/>
        <v>482.26451396374244</v>
      </c>
      <c r="E22" s="56">
        <f>'[3]Shipments &amp; Prices'!$O$244</f>
        <v>209045.75207432153</v>
      </c>
      <c r="F22" s="54">
        <f>'[4]Shipments &amp; Prices'!$O$30*1000</f>
        <v>197566.82000000007</v>
      </c>
      <c r="G22" s="55">
        <f t="shared" si="1"/>
        <v>557.07307353203691</v>
      </c>
      <c r="H22" s="56">
        <f>'[4]Shipments &amp; Prices'!$O$244</f>
        <v>110059.15564535075</v>
      </c>
      <c r="I22" s="18">
        <f t="shared" si="2"/>
        <v>-110130.8365120144</v>
      </c>
      <c r="J22" s="18">
        <f t="shared" si="3"/>
        <v>425928.71129249159</v>
      </c>
      <c r="K22" s="18">
        <f>G22-D22</f>
        <v>74.80855956829447</v>
      </c>
      <c r="L22" s="57"/>
      <c r="M22" s="19">
        <f>K22*F22/1000</f>
        <v>14779.689222688517</v>
      </c>
      <c r="O22" s="18">
        <f t="shared" si="4"/>
        <v>74.80855956829447</v>
      </c>
      <c r="P22" s="19">
        <f t="shared" si="5"/>
        <v>14779.689222688517</v>
      </c>
      <c r="Q22" s="19">
        <f t="shared" si="6"/>
        <v>0</v>
      </c>
      <c r="R22" s="59"/>
    </row>
    <row r="23" spans="2:18" x14ac:dyDescent="0.3">
      <c r="B23" s="13" t="s">
        <v>41</v>
      </c>
      <c r="C23" s="54">
        <f>'[3]Shipments &amp; Prices'!$O$34*1000</f>
        <v>85817.96</v>
      </c>
      <c r="D23" s="55">
        <f t="shared" si="0"/>
        <v>681.44089467682966</v>
      </c>
      <c r="E23" s="56">
        <f>'[3]Shipments &amp; Prices'!$O$248</f>
        <v>58479.867441740382</v>
      </c>
      <c r="F23" s="54">
        <f>'[4]Shipments &amp; Prices'!$O$34*1000</f>
        <v>100236.84017419748</v>
      </c>
      <c r="G23" s="55">
        <f t="shared" si="1"/>
        <v>725.8299650909795</v>
      </c>
      <c r="H23" s="56">
        <f>'[4]Shipments &amp; Prices'!$O$248</f>
        <v>72754.902204467857</v>
      </c>
      <c r="I23" s="18">
        <f t="shared" si="2"/>
        <v>10842.619647709535</v>
      </c>
      <c r="J23" s="18">
        <f t="shared" si="3"/>
        <v>84325.52676109274</v>
      </c>
      <c r="K23" s="57"/>
      <c r="L23" s="18">
        <f>(G23*$H$52)-(D23*$E$52)</f>
        <v>77.270714332004445</v>
      </c>
      <c r="M23" s="21">
        <f>L23*F23/1000/$E$52</f>
        <v>1434.328193082074</v>
      </c>
      <c r="O23" s="18">
        <f t="shared" si="4"/>
        <v>44.389070414149842</v>
      </c>
      <c r="P23" s="21">
        <f t="shared" si="5"/>
        <v>4449.4201565843359</v>
      </c>
      <c r="Q23" s="21">
        <f t="shared" si="6"/>
        <v>3015.0919635022619</v>
      </c>
      <c r="R23" s="7"/>
    </row>
    <row r="24" spans="2:18" x14ac:dyDescent="0.3">
      <c r="B24" s="13" t="s">
        <v>42</v>
      </c>
      <c r="C24" s="54">
        <f>('[3]Shipments &amp; Prices'!$O$35)*1000</f>
        <v>1438681.32</v>
      </c>
      <c r="D24" s="55">
        <f t="shared" si="0"/>
        <v>658.7720119535602</v>
      </c>
      <c r="E24" s="56">
        <f>'[3]Shipments &amp; Prices'!$O$249</f>
        <v>947762.98773640371</v>
      </c>
      <c r="F24" s="54">
        <f>('[4]Shipments &amp; Prices'!$O$35)*1000</f>
        <v>1441770.7359999982</v>
      </c>
      <c r="G24" s="55">
        <f t="shared" si="1"/>
        <v>693.84695980764207</v>
      </c>
      <c r="H24" s="56">
        <f>'[4]Shipments &amp; Prices'!$O$249</f>
        <v>1000368.2419132253</v>
      </c>
      <c r="I24" s="18">
        <f t="shared" si="2"/>
        <v>18517.469795383251</v>
      </c>
      <c r="J24" s="18">
        <f t="shared" si="3"/>
        <v>1413661.6641824653</v>
      </c>
      <c r="K24" s="57"/>
      <c r="L24" s="18">
        <f>(G24*$H$52)-(D24*$E$52)</f>
        <v>34.131787286373765</v>
      </c>
      <c r="M24" s="21">
        <f>L24*F24/1000/$E$52</f>
        <v>9113.0022364574961</v>
      </c>
      <c r="O24" s="18">
        <f t="shared" si="4"/>
        <v>35.07494785408187</v>
      </c>
      <c r="P24" s="21">
        <f t="shared" si="5"/>
        <v>50570.033382741174</v>
      </c>
      <c r="Q24" s="21">
        <f t="shared" si="6"/>
        <v>41457.031146283676</v>
      </c>
      <c r="R24" s="7"/>
    </row>
    <row r="25" spans="2:18" x14ac:dyDescent="0.3">
      <c r="B25" s="13" t="s">
        <v>43</v>
      </c>
      <c r="C25" s="54">
        <f>+'[3]Shipments &amp; Prices'!$O$36*1000</f>
        <v>427373.81000000006</v>
      </c>
      <c r="D25" s="55">
        <f t="shared" si="0"/>
        <v>755.5041542863396</v>
      </c>
      <c r="E25" s="56">
        <f>+'[3]Shipments &amp; Prices'!$O$250</f>
        <v>322882.68888818083</v>
      </c>
      <c r="F25" s="54">
        <f>+'[4]Shipments &amp; Prices'!$O$36*1000</f>
        <v>446359.43442400004</v>
      </c>
      <c r="G25" s="55">
        <f t="shared" si="1"/>
        <v>799.87145597196456</v>
      </c>
      <c r="H25" s="56">
        <f>'[4]Shipments &amp; Prices'!$O$250</f>
        <v>357030.17069954751</v>
      </c>
      <c r="I25" s="18">
        <f t="shared" si="2"/>
        <v>19958.86974458097</v>
      </c>
      <c r="J25" s="18">
        <f t="shared" si="3"/>
        <v>419941.48604960041</v>
      </c>
      <c r="K25" s="57"/>
      <c r="L25" s="18">
        <f>(G25*$H$52)-(D25*$E$52)</f>
        <v>60.583746626350148</v>
      </c>
      <c r="M25" s="21">
        <f>L25*F25/1000/$E$52</f>
        <v>5007.8012739675132</v>
      </c>
      <c r="O25" s="18">
        <f t="shared" si="4"/>
        <v>44.367301685624966</v>
      </c>
      <c r="P25" s="21">
        <f t="shared" si="5"/>
        <v>19803.763687314546</v>
      </c>
      <c r="Q25" s="21">
        <f t="shared" si="6"/>
        <v>14795.962413347032</v>
      </c>
      <c r="R25" s="7"/>
    </row>
    <row r="26" spans="2:18" x14ac:dyDescent="0.3">
      <c r="B26" s="13" t="s">
        <v>44</v>
      </c>
      <c r="C26" s="54">
        <f>'[3]Shipments &amp; Prices'!$O$44*1000</f>
        <v>102999.19000000002</v>
      </c>
      <c r="D26" s="55">
        <f t="shared" si="0"/>
        <v>859.20610955438804</v>
      </c>
      <c r="E26" s="56">
        <f>'[3]Shipments &amp; Prices'!$O$258</f>
        <v>88497.533327153244</v>
      </c>
      <c r="F26" s="54">
        <f>'[4]Shipments &amp; Prices'!$O$44*1000</f>
        <v>90523.857724700007</v>
      </c>
      <c r="G26" s="55">
        <f t="shared" si="1"/>
        <v>914.47188458082758</v>
      </c>
      <c r="H26" s="56">
        <f>'[4]Shipments &amp; Prices'!$O$258</f>
        <v>82781.522773033124</v>
      </c>
      <c r="I26" s="18">
        <f t="shared" si="2"/>
        <v>-9179.8488510503485</v>
      </c>
      <c r="J26" s="18">
        <f t="shared" si="3"/>
        <v>101207.96337638272</v>
      </c>
      <c r="K26" s="57"/>
      <c r="L26" s="18">
        <f>(G26*$H$52)-(D26*$E$52)</f>
        <v>93.789581463477589</v>
      </c>
      <c r="M26" s="21">
        <f>L26*F26/1000/$E$52</f>
        <v>1572.2582830479639</v>
      </c>
      <c r="O26" s="18">
        <f t="shared" si="4"/>
        <v>55.265775026439542</v>
      </c>
      <c r="P26" s="21">
        <f t="shared" si="5"/>
        <v>5002.8711555386917</v>
      </c>
      <c r="Q26" s="21">
        <f t="shared" si="6"/>
        <v>3430.6128724907276</v>
      </c>
      <c r="R26" s="7"/>
    </row>
    <row r="27" spans="2:18" x14ac:dyDescent="0.3">
      <c r="B27" s="13" t="s">
        <v>45</v>
      </c>
      <c r="C27" s="54">
        <f>'[3]Shipments &amp; Prices'!$O$45*1000</f>
        <v>0</v>
      </c>
      <c r="D27" s="64">
        <f>G27</f>
        <v>723.26749918165478</v>
      </c>
      <c r="E27" s="56">
        <f>'[3]Shipments &amp; Prices'!$O$259</f>
        <v>0</v>
      </c>
      <c r="F27" s="54">
        <f>'[4]Shipments &amp; Prices'!$O$45*1000</f>
        <v>45424.208000000021</v>
      </c>
      <c r="G27" s="55">
        <f t="shared" si="1"/>
        <v>723.26749918165478</v>
      </c>
      <c r="H27" s="56">
        <f>'[4]Shipments &amp; Prices'!$O$259</f>
        <v>32853.85332246733</v>
      </c>
      <c r="I27" s="18">
        <f t="shared" si="2"/>
        <v>32853.85332246733</v>
      </c>
      <c r="J27" s="18">
        <f t="shared" si="3"/>
        <v>0</v>
      </c>
      <c r="K27" s="57"/>
      <c r="L27" s="18">
        <f>(G27*$H$52)-(D27*$E$52)</f>
        <v>-161.8568230334281</v>
      </c>
      <c r="M27" s="21">
        <f>L27*F27/1000/$E$52</f>
        <v>-1361.5218510536356</v>
      </c>
      <c r="O27" s="18">
        <f t="shared" si="4"/>
        <v>0</v>
      </c>
      <c r="P27" s="21">
        <f t="shared" si="5"/>
        <v>0</v>
      </c>
      <c r="Q27" s="21">
        <f t="shared" si="6"/>
        <v>1361.5218510536356</v>
      </c>
    </row>
    <row r="28" spans="2:18" x14ac:dyDescent="0.3">
      <c r="B28" s="13" t="s">
        <v>46</v>
      </c>
      <c r="C28" s="54">
        <f>'[3]Shipments &amp; Prices'!$O$48*1000</f>
        <v>1220.3923579624538</v>
      </c>
      <c r="D28" s="55">
        <f t="shared" si="0"/>
        <v>882.99233785211345</v>
      </c>
      <c r="E28" s="56">
        <f>'[3]Shipments &amp; Prices'!$O$262</f>
        <v>1077.5971012541204</v>
      </c>
      <c r="F28" s="54">
        <f>'[4]Shipments &amp; Prices'!$O$48*1000</f>
        <v>1887.8105506815871</v>
      </c>
      <c r="G28" s="55">
        <f t="shared" si="1"/>
        <v>937.18709384501119</v>
      </c>
      <c r="H28" s="56">
        <f>'[4]Shipments &amp; Prices'!$O$262</f>
        <v>1769.2316837232268</v>
      </c>
      <c r="I28" s="18">
        <f t="shared" si="2"/>
        <v>608.06530368131757</v>
      </c>
      <c r="J28" s="18">
        <f t="shared" si="3"/>
        <v>1199.1688970513396</v>
      </c>
      <c r="K28" s="57"/>
      <c r="L28" s="18">
        <f>(G28*$H$52)-(D28*$E$52)</f>
        <v>82.922742834687597</v>
      </c>
      <c r="M28" s="21">
        <f>L28*F28/1000/$E$52</f>
        <v>28.989338669403555</v>
      </c>
      <c r="O28" s="18">
        <f t="shared" si="4"/>
        <v>54.19475599289774</v>
      </c>
      <c r="P28" s="21">
        <f t="shared" si="5"/>
        <v>102.30943215500652</v>
      </c>
      <c r="Q28" s="21">
        <f t="shared" si="6"/>
        <v>73.320093485602968</v>
      </c>
    </row>
    <row r="29" spans="2:18" x14ac:dyDescent="0.3">
      <c r="B29" s="13" t="s">
        <v>47</v>
      </c>
      <c r="C29" s="54">
        <f>'[3]Shipments &amp; Prices'!$O$49*1000</f>
        <v>492.26</v>
      </c>
      <c r="D29" s="55">
        <f t="shared" si="0"/>
        <v>323.3149331466999</v>
      </c>
      <c r="E29" s="56">
        <f>'[3]Shipments &amp; Prices'!$O$263</f>
        <v>159.1550089907945</v>
      </c>
      <c r="F29" s="54">
        <f>'[4]Shipments &amp; Prices'!$O$49*1000</f>
        <v>4847.375</v>
      </c>
      <c r="G29" s="55">
        <f t="shared" si="1"/>
        <v>603.52341365485699</v>
      </c>
      <c r="H29" s="56">
        <f>'[4]Shipments &amp; Prices'!$O$263</f>
        <v>2925.504307265212</v>
      </c>
      <c r="I29" s="18">
        <f t="shared" si="2"/>
        <v>1410.8415299383396</v>
      </c>
      <c r="J29" s="18">
        <f t="shared" si="3"/>
        <v>483.69926066076977</v>
      </c>
      <c r="K29" s="18">
        <f>G29-D29</f>
        <v>280.20848050815709</v>
      </c>
      <c r="L29" s="57"/>
      <c r="M29" s="19">
        <f>K29*F29/1000</f>
        <v>1358.2755832032281</v>
      </c>
      <c r="O29" s="18">
        <f t="shared" si="4"/>
        <v>280.20848050815709</v>
      </c>
      <c r="P29" s="19">
        <f t="shared" si="5"/>
        <v>1358.2755832032281</v>
      </c>
      <c r="Q29" s="19">
        <f t="shared" si="6"/>
        <v>0</v>
      </c>
    </row>
    <row r="30" spans="2:18" x14ac:dyDescent="0.3">
      <c r="B30" s="13" t="s">
        <v>48</v>
      </c>
      <c r="C30" s="54">
        <f>'[3]Shipments &amp; Prices'!$O$51*1000</f>
        <v>90127.470395196156</v>
      </c>
      <c r="D30" s="55">
        <f t="shared" si="0"/>
        <v>922.02222687578126</v>
      </c>
      <c r="E30" s="56">
        <f>'[3]Shipments &amp; Prices'!$O$265</f>
        <v>83099.530956459814</v>
      </c>
      <c r="F30" s="54">
        <f>'[4]Shipments &amp; Prices'!$O$51*1000</f>
        <v>95622.293215625148</v>
      </c>
      <c r="G30" s="55">
        <f t="shared" si="1"/>
        <v>982.99579011657045</v>
      </c>
      <c r="H30" s="56">
        <f>'[4]Shipments &amp; Prices'!$O$265</f>
        <v>93996.311672251817</v>
      </c>
      <c r="I30" s="18">
        <f t="shared" si="2"/>
        <v>6511.5066648032234</v>
      </c>
      <c r="J30" s="18">
        <f t="shared" si="3"/>
        <v>88560.091812013561</v>
      </c>
      <c r="K30" s="57"/>
      <c r="L30" s="18">
        <f>(G30*$H$52)-(D30*$E$52)</f>
        <v>109.27697718101263</v>
      </c>
      <c r="M30" s="21">
        <f>L30*F30/1000/$E$52</f>
        <v>1935.0583617999937</v>
      </c>
      <c r="O30" s="18">
        <f t="shared" si="4"/>
        <v>60.97356324078919</v>
      </c>
      <c r="P30" s="21">
        <f t="shared" si="5"/>
        <v>5830.4319426122074</v>
      </c>
      <c r="Q30" s="21">
        <f t="shared" si="6"/>
        <v>3895.3735808122137</v>
      </c>
    </row>
    <row r="31" spans="2:18" x14ac:dyDescent="0.3">
      <c r="B31" s="13" t="s">
        <v>49</v>
      </c>
      <c r="C31" s="54">
        <f>('[3]Shipments &amp; Prices'!$O$52)*1000</f>
        <v>265325.53999999992</v>
      </c>
      <c r="D31" s="55">
        <f t="shared" si="0"/>
        <v>788.21578807237404</v>
      </c>
      <c r="E31" s="56">
        <f>'[3]Shipments &amp; Prices'!$O$266</f>
        <v>209133.77960682815</v>
      </c>
      <c r="F31" s="54">
        <f>('[4]Shipments &amp; Prices'!$O$52)*1000</f>
        <v>286122.31839448167</v>
      </c>
      <c r="G31" s="55">
        <f t="shared" si="1"/>
        <v>844.90554447654165</v>
      </c>
      <c r="H31" s="56">
        <f>'[4]Shipments &amp; Prices'!$O$266</f>
        <v>241746.33320997993</v>
      </c>
      <c r="I31" s="18">
        <f t="shared" si="2"/>
        <v>20029.329070439559</v>
      </c>
      <c r="J31" s="18">
        <f t="shared" si="3"/>
        <v>260711.34671193975</v>
      </c>
      <c r="K31" s="57"/>
      <c r="L31" s="18">
        <f>(G31*$H$52)-(D31*$E$52)</f>
        <v>117.04702334785452</v>
      </c>
      <c r="M31" s="21">
        <f>L31*F31/1000/$E$52</f>
        <v>6201.8084595298442</v>
      </c>
      <c r="O31" s="18">
        <f t="shared" si="4"/>
        <v>56.689756404167611</v>
      </c>
      <c r="P31" s="21">
        <f t="shared" si="5"/>
        <v>16220.204531578853</v>
      </c>
      <c r="Q31" s="21">
        <f t="shared" si="6"/>
        <v>10018.396072049009</v>
      </c>
      <c r="R31" s="7"/>
    </row>
    <row r="32" spans="2:18" x14ac:dyDescent="0.3">
      <c r="B32" s="13" t="s">
        <v>50</v>
      </c>
      <c r="C32" s="54">
        <f>+'[3]Shipments &amp; Prices'!$O$53*1000</f>
        <v>110301.97000000002</v>
      </c>
      <c r="D32" s="55">
        <f t="shared" si="0"/>
        <v>833.5004192996837</v>
      </c>
      <c r="E32" s="56">
        <f>+'[3]Shipments &amp; Prices'!$O$267</f>
        <v>91936.738244581138</v>
      </c>
      <c r="F32" s="54">
        <f>+'[4]Shipments &amp; Prices'!$O$53*1000</f>
        <v>117390.91099999999</v>
      </c>
      <c r="G32" s="55">
        <f t="shared" si="1"/>
        <v>892.18139614142331</v>
      </c>
      <c r="H32" s="56">
        <f>+'[4]Shipments &amp; Prices'!$O$267</f>
        <v>104733.98687029356</v>
      </c>
      <c r="I32" s="18">
        <f t="shared" si="2"/>
        <v>7507.4782890465494</v>
      </c>
      <c r="J32" s="18">
        <f t="shared" si="3"/>
        <v>108383.7430187836</v>
      </c>
      <c r="K32" s="57"/>
      <c r="L32" s="18">
        <f>(G32*$H$52)-(D32*$E$52)</f>
        <v>117.21996072573438</v>
      </c>
      <c r="M32" s="21">
        <f>L32*F32/1000/$E$52</f>
        <v>2548.2514772181812</v>
      </c>
      <c r="O32" s="18">
        <f t="shared" si="4"/>
        <v>58.680976841739607</v>
      </c>
      <c r="P32" s="21">
        <f t="shared" si="5"/>
        <v>6888.6133298217155</v>
      </c>
      <c r="Q32" s="21">
        <f t="shared" si="6"/>
        <v>4340.3618526035343</v>
      </c>
      <c r="R32" s="7"/>
    </row>
    <row r="33" spans="2:18" x14ac:dyDescent="0.3">
      <c r="B33" s="13" t="s">
        <v>51</v>
      </c>
      <c r="C33" s="54">
        <f>'[3]Shipments &amp; Prices'!$O$61*1000</f>
        <v>49551.853244528029</v>
      </c>
      <c r="D33" s="55">
        <f t="shared" si="0"/>
        <v>1018.0180553139453</v>
      </c>
      <c r="E33" s="56">
        <f>'[3]Shipments &amp; Prices'!$O$275</f>
        <v>50444.681277196432</v>
      </c>
      <c r="F33" s="54">
        <f>'[4]Shipments &amp; Prices'!$O$61*1000</f>
        <v>41148.523634731071</v>
      </c>
      <c r="G33" s="55">
        <f t="shared" si="1"/>
        <v>1058.4157236736737</v>
      </c>
      <c r="H33" s="56">
        <f>'[4]Shipments &amp; Prices'!$O$275</f>
        <v>43552.244420957155</v>
      </c>
      <c r="I33" s="18">
        <f t="shared" si="2"/>
        <v>-7677.4736295626453</v>
      </c>
      <c r="J33" s="18">
        <f t="shared" si="3"/>
        <v>48690.112498982598</v>
      </c>
      <c r="K33" s="57"/>
      <c r="L33" s="18">
        <f>(G33*$H$52)-(D33*$E$52)</f>
        <v>-18.710747315871231</v>
      </c>
      <c r="M33" s="21">
        <f>L33*F33/1000/$E$52</f>
        <v>-142.5777089167793</v>
      </c>
      <c r="O33" s="18">
        <f t="shared" si="4"/>
        <v>40.397668359728414</v>
      </c>
      <c r="P33" s="21">
        <f t="shared" si="5"/>
        <v>1662.3044112883122</v>
      </c>
      <c r="Q33" s="21">
        <f t="shared" si="6"/>
        <v>1804.8821202050915</v>
      </c>
      <c r="R33" s="7"/>
    </row>
    <row r="34" spans="2:18" x14ac:dyDescent="0.3">
      <c r="B34" s="13" t="s">
        <v>52</v>
      </c>
      <c r="C34" s="54">
        <f>'[3]Shipments &amp; Prices'!$O$62*1000</f>
        <v>1014.1200000000001</v>
      </c>
      <c r="D34" s="55">
        <f t="shared" si="0"/>
        <v>323.3149331466999</v>
      </c>
      <c r="E34" s="56">
        <f>'[3]Shipments &amp; Prices'!$O$276</f>
        <v>327.88014000273137</v>
      </c>
      <c r="F34" s="54">
        <f>'[4]Shipments &amp; Prices'!$O$62*1000</f>
        <v>2599.1210000000001</v>
      </c>
      <c r="G34" s="55">
        <f t="shared" si="1"/>
        <v>562.09664698283348</v>
      </c>
      <c r="H34" s="56">
        <f>'[4]Shipments &amp; Prices'!$O$276</f>
        <v>1460.9571992026692</v>
      </c>
      <c r="I34" s="18">
        <f t="shared" si="2"/>
        <v>518.1565530786412</v>
      </c>
      <c r="J34" s="18">
        <f t="shared" si="3"/>
        <v>996.48375700097495</v>
      </c>
      <c r="K34" s="18">
        <f>G34-D34</f>
        <v>238.78171383613358</v>
      </c>
      <c r="L34" s="57"/>
      <c r="M34" s="19">
        <f>K34*F34/1000</f>
        <v>620.62256684748536</v>
      </c>
      <c r="O34" s="18">
        <f t="shared" si="4"/>
        <v>238.78171383613358</v>
      </c>
      <c r="P34" s="19">
        <f t="shared" si="5"/>
        <v>620.62256684748536</v>
      </c>
      <c r="Q34" s="19">
        <f t="shared" si="6"/>
        <v>0</v>
      </c>
      <c r="R34" s="7"/>
    </row>
    <row r="35" spans="2:18" x14ac:dyDescent="0.3">
      <c r="B35" s="13" t="s">
        <v>53</v>
      </c>
      <c r="C35" s="54">
        <f>'[3]Shipments &amp; Prices'!$O$64*1000</f>
        <v>463694.02845894557</v>
      </c>
      <c r="D35" s="55">
        <f t="shared" si="0"/>
        <v>1045.098613309294</v>
      </c>
      <c r="E35" s="56">
        <f>'[3]Shipments &amp; Prices'!$O$278</f>
        <v>484605.98614224436</v>
      </c>
      <c r="F35" s="54">
        <f>'[4]Shipments &amp; Prices'!$O$64*1000</f>
        <v>463787.28951984947</v>
      </c>
      <c r="G35" s="55">
        <f t="shared" si="1"/>
        <v>1098.8490261551694</v>
      </c>
      <c r="H35" s="56">
        <f>'[4]Shipments &amp; Prices'!$O$278</f>
        <v>509632.21143203217</v>
      </c>
      <c r="I35" s="18">
        <f t="shared" si="2"/>
        <v>8525.0977891471794</v>
      </c>
      <c r="J35" s="18">
        <f t="shared" si="3"/>
        <v>455630.07097551273</v>
      </c>
      <c r="K35" s="57"/>
      <c r="L35" s="18">
        <f>(G35*$H$52)-(D35*$E$52)</f>
        <v>44.345683631760039</v>
      </c>
      <c r="M35" s="21">
        <f>L35*F35/1000/$E$52</f>
        <v>3808.6971136071747</v>
      </c>
      <c r="O35" s="18">
        <f t="shared" si="4"/>
        <v>53.750412845875417</v>
      </c>
      <c r="P35" s="21">
        <f t="shared" si="5"/>
        <v>24928.758284361458</v>
      </c>
      <c r="Q35" s="21">
        <f t="shared" si="6"/>
        <v>21120.061170754285</v>
      </c>
    </row>
    <row r="36" spans="2:18" x14ac:dyDescent="0.3">
      <c r="B36" s="13" t="s">
        <v>54</v>
      </c>
      <c r="C36" s="54">
        <f>('[3]Shipments &amp; Prices'!$O$65)*1000</f>
        <v>416584.70999999996</v>
      </c>
      <c r="D36" s="55">
        <f t="shared" si="0"/>
        <v>848.78295422451879</v>
      </c>
      <c r="E36" s="56">
        <f>'[3]Shipments &amp; Prices'!$O$279</f>
        <v>353590.00083856442</v>
      </c>
      <c r="F36" s="54">
        <f>('[4]Shipments &amp; Prices'!$O$65)*1000</f>
        <v>438619.17</v>
      </c>
      <c r="G36" s="55">
        <f t="shared" si="1"/>
        <v>912.55185611988099</v>
      </c>
      <c r="H36" s="56">
        <f>'[4]Shipments &amp; Prices'!$O$279</f>
        <v>400262.73771326162</v>
      </c>
      <c r="I36" s="18">
        <f t="shared" si="2"/>
        <v>24851.646909628525</v>
      </c>
      <c r="J36" s="18">
        <f t="shared" si="3"/>
        <v>409340.01590537757</v>
      </c>
      <c r="K36" s="57"/>
      <c r="L36" s="18">
        <f>(G36*$H$52)-(D36*$E$52)</f>
        <v>140.13614120186503</v>
      </c>
      <c r="M36" s="21">
        <f>L36*F36/1000/$E$52</f>
        <v>11382.666285363859</v>
      </c>
      <c r="O36" s="18">
        <f t="shared" si="4"/>
        <v>63.768901895362205</v>
      </c>
      <c r="P36" s="21">
        <f t="shared" si="5"/>
        <v>27970.262821155196</v>
      </c>
      <c r="Q36" s="21">
        <f t="shared" si="6"/>
        <v>16587.596535791337</v>
      </c>
      <c r="R36" s="7"/>
    </row>
    <row r="37" spans="2:18" x14ac:dyDescent="0.3">
      <c r="B37" s="13" t="s">
        <v>55</v>
      </c>
      <c r="C37" s="54">
        <f>+'[3]Shipments &amp; Prices'!$O$66*1000</f>
        <v>83539.329999999987</v>
      </c>
      <c r="D37" s="55">
        <f t="shared" si="0"/>
        <v>880.30207472866596</v>
      </c>
      <c r="E37" s="56">
        <f>+'[3]Shipments &amp; Prices'!$O$280</f>
        <v>73539.845520442672</v>
      </c>
      <c r="F37" s="54">
        <f>+'[4]Shipments &amp; Prices'!$O$66*1000</f>
        <v>76159.621079999997</v>
      </c>
      <c r="G37" s="55">
        <f t="shared" si="1"/>
        <v>950.63960616797078</v>
      </c>
      <c r="H37" s="56">
        <f>+'[4]Shipments &amp; Prices'!$O$280</f>
        <v>72400.352189393088</v>
      </c>
      <c r="I37" s="18">
        <f t="shared" si="2"/>
        <v>-5217.4646740558155</v>
      </c>
      <c r="J37" s="18">
        <f t="shared" si="3"/>
        <v>82086.523701084909</v>
      </c>
      <c r="K37" s="57"/>
      <c r="L37" s="18">
        <f>(G37*$H$52)-(D37*$E$52)</f>
        <v>167.08325222868007</v>
      </c>
      <c r="M37" s="21">
        <f>L37*F37/1000/$E$52</f>
        <v>2356.4809589908032</v>
      </c>
      <c r="O37" s="18">
        <f t="shared" si="4"/>
        <v>70.337531439304826</v>
      </c>
      <c r="P37" s="21">
        <f t="shared" si="5"/>
        <v>5356.8797421200425</v>
      </c>
      <c r="Q37" s="21">
        <f t="shared" si="6"/>
        <v>3000.3987831292393</v>
      </c>
      <c r="R37" s="7"/>
    </row>
    <row r="38" spans="2:18" x14ac:dyDescent="0.3">
      <c r="B38" s="13" t="s">
        <v>56</v>
      </c>
      <c r="C38" s="54">
        <f>'[3]Shipments &amp; Prices'!$O$74*1000</f>
        <v>0</v>
      </c>
      <c r="D38" s="55">
        <f t="shared" si="0"/>
        <v>0</v>
      </c>
      <c r="E38" s="56">
        <f>'[3]Shipments &amp; Prices'!$O$288</f>
        <v>0</v>
      </c>
      <c r="F38" s="54">
        <f>'[4]Shipments &amp; Prices'!$O$74*1000</f>
        <v>0</v>
      </c>
      <c r="G38" s="55">
        <f t="shared" si="1"/>
        <v>0</v>
      </c>
      <c r="H38" s="56">
        <f>'[4]Shipments &amp; Prices'!$O$288</f>
        <v>0</v>
      </c>
      <c r="I38" s="18">
        <f t="shared" si="2"/>
        <v>0</v>
      </c>
      <c r="J38" s="18">
        <f t="shared" si="3"/>
        <v>0</v>
      </c>
      <c r="K38" s="18">
        <f>G38-D38</f>
        <v>0</v>
      </c>
      <c r="L38" s="57"/>
      <c r="M38" s="19">
        <f>K38*F38/1000</f>
        <v>0</v>
      </c>
      <c r="O38" s="18">
        <f t="shared" si="4"/>
        <v>0</v>
      </c>
      <c r="P38" s="19">
        <f t="shared" si="5"/>
        <v>0</v>
      </c>
      <c r="Q38" s="19">
        <f t="shared" si="6"/>
        <v>0</v>
      </c>
      <c r="R38" s="7"/>
    </row>
    <row r="39" spans="2:18" x14ac:dyDescent="0.3">
      <c r="B39" s="13" t="s">
        <v>57</v>
      </c>
      <c r="C39" s="54">
        <f>('[3]Shipments &amp; Prices'!$O$79)*1000</f>
        <v>181457.09000000003</v>
      </c>
      <c r="D39" s="55">
        <f t="shared" si="0"/>
        <v>973.02160893390283</v>
      </c>
      <c r="E39" s="56">
        <f>'[3]Shipments &amp; Prices'!$O$293</f>
        <v>176561.66966426402</v>
      </c>
      <c r="F39" s="54">
        <f>('[4]Shipments &amp; Prices'!$O$79)*1000</f>
        <v>136271.78900000008</v>
      </c>
      <c r="G39" s="55">
        <f t="shared" si="1"/>
        <v>1027.6409820521678</v>
      </c>
      <c r="H39" s="56">
        <f>'[4]Shipments &amp; Prices'!$O$293</f>
        <v>140038.47507396591</v>
      </c>
      <c r="I39" s="18">
        <f t="shared" si="2"/>
        <v>-40895.745633151986</v>
      </c>
      <c r="J39" s="18">
        <f t="shared" si="3"/>
        <v>178301.42663359761</v>
      </c>
      <c r="K39" s="57"/>
      <c r="L39" s="18">
        <f>(G39*$H$52)-(D39*$E$52)</f>
        <v>64.97340119760338</v>
      </c>
      <c r="M39" s="21">
        <f>L39*F39/1000/$E$52</f>
        <v>1639.6373367800295</v>
      </c>
      <c r="O39" s="18">
        <f t="shared" si="4"/>
        <v>54.619373118265003</v>
      </c>
      <c r="P39" s="21">
        <f t="shared" si="5"/>
        <v>7443.0796888844843</v>
      </c>
      <c r="Q39" s="21">
        <f t="shared" si="6"/>
        <v>5803.4423521044546</v>
      </c>
      <c r="R39" s="7"/>
    </row>
    <row r="40" spans="2:18" x14ac:dyDescent="0.3">
      <c r="B40" s="13" t="s">
        <v>58</v>
      </c>
      <c r="C40" s="54">
        <f>+'[3]Shipments &amp; Prices'!$O$80*1000</f>
        <v>106335.88</v>
      </c>
      <c r="D40" s="55">
        <f t="shared" si="0"/>
        <v>1088.1106443153853</v>
      </c>
      <c r="E40" s="56">
        <f>+'[3]Shipments &amp; Prices'!$O$294</f>
        <v>115705.20290064352</v>
      </c>
      <c r="F40" s="54">
        <f>+'[4]Shipments &amp; Prices'!$O$80*1000</f>
        <v>88523.367000000013</v>
      </c>
      <c r="G40" s="55">
        <f t="shared" si="1"/>
        <v>1184.3832810817546</v>
      </c>
      <c r="H40" s="56">
        <f>+'[4]Shipments &amp; Prices'!$O$294</f>
        <v>104845.59585986432</v>
      </c>
      <c r="I40" s="18">
        <f t="shared" si="2"/>
        <v>-17369.7920865981</v>
      </c>
      <c r="J40" s="18">
        <f t="shared" si="3"/>
        <v>104486.62604662645</v>
      </c>
      <c r="K40" s="57"/>
      <c r="L40" s="18">
        <f>(G40*$H$52)-(D40*$E$52)</f>
        <v>254.8243615818028</v>
      </c>
      <c r="M40" s="21">
        <f>L40*F40/1000/$E$52</f>
        <v>4177.3908297864136</v>
      </c>
      <c r="O40" s="18">
        <f t="shared" si="4"/>
        <v>96.27263676636926</v>
      </c>
      <c r="P40" s="21">
        <f t="shared" si="5"/>
        <v>8522.3779565269997</v>
      </c>
      <c r="Q40" s="21">
        <f t="shared" si="6"/>
        <v>4344.9871267405861</v>
      </c>
      <c r="R40" s="7"/>
    </row>
    <row r="41" spans="2:18" x14ac:dyDescent="0.3">
      <c r="B41" s="13" t="s">
        <v>59</v>
      </c>
      <c r="C41" s="54">
        <f>'[3]Shipments &amp; Prices'!$O$90*1000</f>
        <v>94231.594684142721</v>
      </c>
      <c r="D41" s="55">
        <f t="shared" si="0"/>
        <v>1291.3710733114247</v>
      </c>
      <c r="E41" s="56">
        <f>'[3]Shipments &amp; Prices'!$O$304</f>
        <v>121687.95556710853</v>
      </c>
      <c r="F41" s="54">
        <f>'[4]Shipments &amp; Prices'!$O$90*1000</f>
        <v>99323.020800091981</v>
      </c>
      <c r="G41" s="55">
        <f t="shared" si="1"/>
        <v>1381.2513280098087</v>
      </c>
      <c r="H41" s="56">
        <f>'[4]Shipments &amp; Prices'!$O$304</f>
        <v>137190.05438207291</v>
      </c>
      <c r="I41" s="18">
        <f t="shared" si="2"/>
        <v>8691.1574948101152</v>
      </c>
      <c r="J41" s="18">
        <f t="shared" si="3"/>
        <v>92592.842562071179</v>
      </c>
      <c r="K41" s="57"/>
      <c r="L41" s="18">
        <f>(G41*$H$52)-(D41*$E$52)</f>
        <v>176.2492720964492</v>
      </c>
      <c r="M41" s="21">
        <f>L41*F41/1000/$E$52</f>
        <v>3241.7796515623504</v>
      </c>
      <c r="O41" s="18">
        <f t="shared" si="4"/>
        <v>89.880254698384078</v>
      </c>
      <c r="P41" s="21">
        <f t="shared" si="5"/>
        <v>8927.1784069251662</v>
      </c>
      <c r="Q41" s="21">
        <f t="shared" si="6"/>
        <v>5685.3987553628158</v>
      </c>
    </row>
    <row r="42" spans="2:18" x14ac:dyDescent="0.3">
      <c r="B42" s="25" t="s">
        <v>60</v>
      </c>
      <c r="C42" s="54">
        <f>'[3]Shipments &amp; Prices'!$O$91*1000</f>
        <v>7737.5399999999991</v>
      </c>
      <c r="D42" s="55">
        <f t="shared" si="0"/>
        <v>848.71896027417995</v>
      </c>
      <c r="E42" s="56">
        <f>'[3]Shipments &amp; Prices'!$O$305</f>
        <v>6566.9969038798772</v>
      </c>
      <c r="F42" s="54">
        <f>'[4]Shipments &amp; Prices'!$O$91*1000</f>
        <v>7661.2250000000004</v>
      </c>
      <c r="G42" s="55">
        <f t="shared" si="1"/>
        <v>819.85821665871219</v>
      </c>
      <c r="H42" s="56">
        <f>'[4]Shipments &amp; Prices'!$O$305</f>
        <v>6281.1182659211427</v>
      </c>
      <c r="I42" s="67">
        <f t="shared" si="2"/>
        <v>49.434596985078954</v>
      </c>
      <c r="J42" s="67">
        <f t="shared" si="3"/>
        <v>7602.9788675357167</v>
      </c>
      <c r="K42" s="68"/>
      <c r="L42" s="67">
        <f>(G42*$H$52)-(D42*$E$52)</f>
        <v>-339.32044645174392</v>
      </c>
      <c r="M42" s="67">
        <f>L42*F42/1000/$E$52</f>
        <v>-481.40931247541886</v>
      </c>
      <c r="N42" s="69"/>
      <c r="O42" s="67">
        <f t="shared" si="4"/>
        <v>-28.860743615467754</v>
      </c>
      <c r="P42" s="67">
        <f t="shared" si="5"/>
        <v>-221.10865050541196</v>
      </c>
      <c r="Q42" s="67">
        <f t="shared" si="6"/>
        <v>260.3006619700069</v>
      </c>
      <c r="R42" s="7"/>
    </row>
    <row r="43" spans="2:18" x14ac:dyDescent="0.3">
      <c r="B43" s="70" t="s">
        <v>61</v>
      </c>
      <c r="C43" s="54">
        <f>'[3]Shipments &amp; Prices'!$O$107*1000</f>
        <v>3816.3261818387646</v>
      </c>
      <c r="D43" s="55">
        <f t="shared" si="0"/>
        <v>1872.4826654238002</v>
      </c>
      <c r="E43" s="56">
        <f>'[3]Shipments &amp; Prices'!$O$321</f>
        <v>7146.0046210960845</v>
      </c>
      <c r="F43" s="54">
        <f>'[4]Shipments &amp; Prices'!$O$107*1000+'[4]Shipments &amp; Prices'!$O$105*1000</f>
        <v>3627.2928948158055</v>
      </c>
      <c r="G43" s="55">
        <f t="shared" si="1"/>
        <v>1950.7789811814962</v>
      </c>
      <c r="H43" s="56">
        <f>'[4]Shipments &amp; Prices'!$O$321+'[4]Shipments &amp; Prices'!$O$319</f>
        <v>7076.0467377956575</v>
      </c>
      <c r="I43" s="18">
        <f t="shared" si="2"/>
        <v>-229.68762700576013</v>
      </c>
      <c r="J43" s="18">
        <f t="shared" si="3"/>
        <v>3749.9576496074205</v>
      </c>
      <c r="K43" s="57"/>
      <c r="L43" s="18">
        <f>(G43*$H$52)-(D43*$E$52)</f>
        <v>-13.756063534403438</v>
      </c>
      <c r="M43" s="21">
        <f>L43*F43/1000/$E$52</f>
        <v>-9.2402354664771078</v>
      </c>
      <c r="O43" s="18">
        <f t="shared" si="4"/>
        <v>78.296315757695993</v>
      </c>
      <c r="P43" s="21">
        <f t="shared" si="5"/>
        <v>284.00366983814547</v>
      </c>
      <c r="Q43" s="21">
        <f t="shared" si="6"/>
        <v>293.24390530462256</v>
      </c>
      <c r="R43" s="7"/>
    </row>
    <row r="44" spans="2:18" x14ac:dyDescent="0.3">
      <c r="B44" s="13" t="s">
        <v>62</v>
      </c>
      <c r="C44" s="54">
        <f>'[3]Shipments &amp; Prices'!$O$95*1000</f>
        <v>0</v>
      </c>
      <c r="D44" s="64">
        <f>G44</f>
        <v>481.23641067916822</v>
      </c>
      <c r="E44" s="56">
        <f>'[3]Shipments &amp; Prices'!$O$309</f>
        <v>0</v>
      </c>
      <c r="F44" s="54">
        <f>'[4]Shipments &amp; Prices'!$O$95*1000</f>
        <v>10000</v>
      </c>
      <c r="G44" s="55">
        <f t="shared" si="1"/>
        <v>481.23641067916822</v>
      </c>
      <c r="H44" s="56">
        <f>'[4]Shipments &amp; Prices'!$O$309</f>
        <v>4812.3641067916824</v>
      </c>
      <c r="I44" s="18">
        <f t="shared" si="2"/>
        <v>4812.3641067916824</v>
      </c>
      <c r="J44" s="18">
        <f t="shared" si="3"/>
        <v>0</v>
      </c>
      <c r="K44" s="18">
        <f>G44-D44</f>
        <v>0</v>
      </c>
      <c r="L44" s="57"/>
      <c r="M44" s="19">
        <f>K44*F44/1000</f>
        <v>0</v>
      </c>
      <c r="O44" s="18">
        <f t="shared" si="4"/>
        <v>0</v>
      </c>
      <c r="P44" s="19">
        <f t="shared" si="5"/>
        <v>0</v>
      </c>
      <c r="Q44" s="19">
        <f t="shared" si="6"/>
        <v>0</v>
      </c>
      <c r="R44" s="7"/>
    </row>
    <row r="45" spans="2:18" x14ac:dyDescent="0.3">
      <c r="B45" s="13" t="s">
        <v>63</v>
      </c>
      <c r="C45" s="54">
        <f>'[3]Shipments &amp; Prices'!$O$98*1000</f>
        <v>35399.969999999994</v>
      </c>
      <c r="D45" s="55">
        <f t="shared" si="0"/>
        <v>948.71897268627947</v>
      </c>
      <c r="E45" s="56">
        <f>'[3]Shipments &amp; Prices'!$O$312</f>
        <v>33584.623171525105</v>
      </c>
      <c r="F45" s="54">
        <f>('[4]Shipments &amp; Prices'!$O$98)*1000</f>
        <v>17169.268000000007</v>
      </c>
      <c r="G45" s="55">
        <f t="shared" si="1"/>
        <v>1006.9799835837825</v>
      </c>
      <c r="H45" s="56">
        <f>'[4]Shipments &amp; Prices'!$O$312</f>
        <v>17289.109208785569</v>
      </c>
      <c r="I45" s="18">
        <f t="shared" si="2"/>
        <v>-16711.753219806105</v>
      </c>
      <c r="J45" s="18">
        <f t="shared" si="3"/>
        <v>34784.340219423531</v>
      </c>
      <c r="K45" s="57"/>
      <c r="L45" s="18">
        <f>(G45*$H$52)-(D45*$E$52)</f>
        <v>89.261878337871167</v>
      </c>
      <c r="M45" s="21">
        <f>L45*F45/1000/$E$52</f>
        <v>283.80761321598243</v>
      </c>
      <c r="O45" s="18">
        <f t="shared" si="4"/>
        <v>58.26101089750307</v>
      </c>
      <c r="P45" s="21">
        <f t="shared" si="5"/>
        <v>1000.2989100501512</v>
      </c>
      <c r="Q45" s="21">
        <f t="shared" si="6"/>
        <v>716.49129683416879</v>
      </c>
      <c r="R45" s="7"/>
    </row>
    <row r="46" spans="2:18" x14ac:dyDescent="0.3">
      <c r="B46" s="13" t="s">
        <v>64</v>
      </c>
      <c r="C46" s="54">
        <f>'[3]Shipments &amp; Prices'!$O$97*1000</f>
        <v>0</v>
      </c>
      <c r="D46" s="64">
        <f>G46</f>
        <v>1007.5182528038496</v>
      </c>
      <c r="E46" s="56">
        <f>'[3]Shipments &amp; Prices'!$O$311</f>
        <v>0</v>
      </c>
      <c r="F46" s="54">
        <f>'[4]Shipments &amp; Prices'!$O$97*1000</f>
        <v>7002.88</v>
      </c>
      <c r="G46" s="55">
        <f t="shared" si="1"/>
        <v>1007.5182528038496</v>
      </c>
      <c r="H46" s="56">
        <f>'[4]Shipments &amp; Prices'!$O$311</f>
        <v>7055.5294221950217</v>
      </c>
      <c r="I46" s="18">
        <f t="shared" si="2"/>
        <v>7055.5294221950217</v>
      </c>
      <c r="J46" s="18">
        <f t="shared" si="3"/>
        <v>0</v>
      </c>
      <c r="K46" s="57"/>
      <c r="L46" s="18">
        <f>(G46*$H$52)-(D46*$E$52)</f>
        <v>-225.46803738800918</v>
      </c>
      <c r="M46" s="21">
        <f>L46*F46/1000/$E$52</f>
        <v>-292.39363141921137</v>
      </c>
      <c r="O46" s="18">
        <f t="shared" si="4"/>
        <v>0</v>
      </c>
      <c r="P46" s="21">
        <f t="shared" si="5"/>
        <v>0</v>
      </c>
      <c r="Q46" s="21">
        <f t="shared" si="6"/>
        <v>292.39363141921137</v>
      </c>
      <c r="R46" s="7"/>
    </row>
    <row r="47" spans="2:18" ht="14.4" thickBot="1" x14ac:dyDescent="0.35">
      <c r="B47" s="71" t="s">
        <v>65</v>
      </c>
      <c r="C47" s="54"/>
      <c r="D47" s="55"/>
      <c r="E47" s="56"/>
      <c r="F47" s="54"/>
      <c r="G47" s="55"/>
      <c r="H47" s="56"/>
      <c r="I47" s="18">
        <f t="shared" si="2"/>
        <v>0</v>
      </c>
      <c r="J47" s="18">
        <f t="shared" si="3"/>
        <v>0</v>
      </c>
      <c r="K47" s="57"/>
      <c r="L47" s="18">
        <f>(G47*$H$52)-(D47*$E$52)</f>
        <v>0</v>
      </c>
      <c r="M47" s="21">
        <f>L47*F47/1000/$E$52</f>
        <v>0</v>
      </c>
      <c r="O47" s="18">
        <f t="shared" si="4"/>
        <v>0</v>
      </c>
      <c r="P47" s="21">
        <f t="shared" si="5"/>
        <v>0</v>
      </c>
      <c r="Q47" s="21">
        <f t="shared" si="6"/>
        <v>0</v>
      </c>
      <c r="R47" s="7"/>
    </row>
    <row r="48" spans="2:18" ht="14.4" thickBot="1" x14ac:dyDescent="0.35">
      <c r="B48" s="72" t="s">
        <v>66</v>
      </c>
      <c r="C48" s="73">
        <f>SUM(C17:C47)</f>
        <v>7232333.7353226142</v>
      </c>
      <c r="D48" s="74">
        <f>+E48/C48*1000</f>
        <v>661.80343378227985</v>
      </c>
      <c r="E48" s="73">
        <f>SUM(E17:E47)</f>
        <v>4786383.3002959285</v>
      </c>
      <c r="F48" s="73">
        <f>SUM(F17:F47)</f>
        <v>7106558.4866279848</v>
      </c>
      <c r="G48" s="74">
        <f>+H48/F48*1000</f>
        <v>723.42880683438705</v>
      </c>
      <c r="H48" s="73">
        <f>SUM(H17:H47)</f>
        <v>5141089.1266800705</v>
      </c>
      <c r="I48" s="73">
        <f>SUM(I17:I47)</f>
        <v>7994.4599377446002</v>
      </c>
      <c r="J48" s="73">
        <f>SUM(J17:J47)</f>
        <v>7106558.4866279839</v>
      </c>
      <c r="K48" s="75"/>
      <c r="L48" s="75"/>
      <c r="M48" s="73">
        <f>SUM(M17:M47)</f>
        <v>286548.94369344617</v>
      </c>
      <c r="O48" s="75"/>
      <c r="P48" s="73">
        <f>SUM(P17:P47)</f>
        <v>429949.8579173219</v>
      </c>
      <c r="Q48" s="73">
        <f>SUM(Q17:Q47)</f>
        <v>143400.91422387576</v>
      </c>
      <c r="R48" s="7"/>
    </row>
    <row r="49" spans="1:18" x14ac:dyDescent="0.3">
      <c r="B49" s="76" t="s">
        <v>4</v>
      </c>
      <c r="C49" s="95"/>
      <c r="D49" s="6"/>
      <c r="E49" s="78"/>
      <c r="F49" s="97"/>
      <c r="G49" s="6" t="s">
        <v>107</v>
      </c>
      <c r="H49" s="78" t="s">
        <v>108</v>
      </c>
      <c r="I49" s="16" t="s">
        <v>109</v>
      </c>
      <c r="J49" s="16" t="s">
        <v>4</v>
      </c>
      <c r="L49" s="1"/>
      <c r="R49" s="2"/>
    </row>
    <row r="50" spans="1:18" x14ac:dyDescent="0.3">
      <c r="B50" s="13" t="s">
        <v>110</v>
      </c>
      <c r="C50" s="79"/>
      <c r="D50" s="55"/>
      <c r="E50" s="80"/>
      <c r="F50" s="79"/>
      <c r="G50" s="55">
        <f>H48</f>
        <v>5141089.1266800705</v>
      </c>
      <c r="H50" s="80">
        <f>SUM(H23:H27,H30:H32,H35:H37,H39:H43,H47,H46,H45,H28,H33,H20,H21)</f>
        <v>3460298.9284182563</v>
      </c>
      <c r="I50" s="127">
        <f>H50/G50</f>
        <v>0.67306729044255886</v>
      </c>
      <c r="J50" s="128">
        <f>H50-(H50*H52/E52)</f>
        <v>143400.91422387538</v>
      </c>
      <c r="L50" s="1"/>
      <c r="R50" s="2"/>
    </row>
    <row r="51" spans="1:18" x14ac:dyDescent="0.3">
      <c r="B51" s="13" t="s">
        <v>111</v>
      </c>
      <c r="C51" s="79"/>
      <c r="D51" s="55"/>
      <c r="E51" s="80"/>
      <c r="F51" s="79"/>
      <c r="G51" s="55">
        <f>C13*1000-G50</f>
        <v>-4393396.7258032924</v>
      </c>
      <c r="H51" s="80">
        <f>G51*I51</f>
        <v>-1757358.6903213169</v>
      </c>
      <c r="I51" s="129">
        <v>0.4</v>
      </c>
      <c r="J51" s="128">
        <f>H51-(H51*H52/E52)</f>
        <v>-72828.055617306381</v>
      </c>
      <c r="L51" s="1"/>
      <c r="R51" s="2"/>
    </row>
    <row r="52" spans="1:18" ht="14.4" thickBot="1" x14ac:dyDescent="0.35">
      <c r="B52" s="130" t="s">
        <v>4</v>
      </c>
      <c r="C52" s="131"/>
      <c r="D52" s="60"/>
      <c r="E52" s="132">
        <f>[1]DRE!$O$1</f>
        <v>5.4</v>
      </c>
      <c r="F52" s="131"/>
      <c r="G52" s="60"/>
      <c r="H52" s="132">
        <f>[2]DRE!$O$1</f>
        <v>5.176214439033191</v>
      </c>
      <c r="I52" s="133"/>
      <c r="J52" s="128"/>
      <c r="L52" s="1"/>
      <c r="R52" s="2"/>
    </row>
    <row r="53" spans="1:18" s="8" customFormat="1" ht="14.4" thickBot="1" x14ac:dyDescent="0.35">
      <c r="B53" s="87" t="s">
        <v>112</v>
      </c>
      <c r="C53" s="134"/>
      <c r="D53" s="135"/>
      <c r="E53" s="136"/>
      <c r="F53" s="137"/>
      <c r="G53" s="138"/>
      <c r="H53" s="136"/>
      <c r="I53" s="136"/>
      <c r="J53" s="136">
        <f>SUM(J50:J51)</f>
        <v>70572.858606569003</v>
      </c>
      <c r="K53" s="1"/>
      <c r="L53" s="1"/>
      <c r="M53" s="2"/>
      <c r="N53" s="2"/>
      <c r="O53" s="2"/>
      <c r="P53" s="2"/>
      <c r="Q53" s="2"/>
      <c r="R53" s="2"/>
    </row>
    <row r="54" spans="1:18" s="2" customFormat="1" x14ac:dyDescent="0.3">
      <c r="A54" s="1"/>
      <c r="B54" s="1"/>
      <c r="C54" s="1"/>
      <c r="D54" s="1"/>
      <c r="E54" s="7"/>
      <c r="F54" s="7"/>
      <c r="G54" s="7"/>
      <c r="H54" s="7"/>
      <c r="I54" s="1"/>
      <c r="J54" s="1"/>
      <c r="K54" s="1"/>
      <c r="L54" s="1"/>
      <c r="M54" s="99"/>
      <c r="R54" s="1"/>
    </row>
    <row r="55" spans="1:18" s="2" customFormat="1" x14ac:dyDescent="0.3">
      <c r="A55" s="1"/>
      <c r="B55" s="1"/>
      <c r="C55" s="1"/>
      <c r="D55" s="1"/>
      <c r="E55" s="7"/>
      <c r="F55" s="7"/>
      <c r="G55" s="7"/>
      <c r="H55" s="7"/>
      <c r="I55" s="1"/>
      <c r="J55" s="1"/>
      <c r="K55" s="1"/>
      <c r="L55" s="1"/>
      <c r="M55" s="99"/>
      <c r="R55" s="1"/>
    </row>
    <row r="56" spans="1:18" s="2" customFormat="1" x14ac:dyDescent="0.3">
      <c r="A56" s="1"/>
      <c r="B56" s="1"/>
      <c r="C56" s="1"/>
      <c r="D56" s="1"/>
      <c r="E56" s="7"/>
      <c r="F56" s="7"/>
      <c r="G56" s="7"/>
      <c r="H56" s="7"/>
      <c r="I56" s="1"/>
      <c r="J56" s="1"/>
      <c r="K56" s="1"/>
      <c r="L56" s="99"/>
      <c r="M56" s="99"/>
      <c r="R56" s="1"/>
    </row>
    <row r="57" spans="1:18" s="2" customForma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99"/>
      <c r="M57" s="99"/>
      <c r="R57" s="1"/>
    </row>
    <row r="58" spans="1:18" s="2" customForma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99"/>
      <c r="M58" s="99"/>
      <c r="R58" s="1"/>
    </row>
    <row r="59" spans="1:18" s="2" customForma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99"/>
      <c r="M59" s="99"/>
      <c r="R59" s="1"/>
    </row>
    <row r="60" spans="1:18" s="2" customForma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41"/>
      <c r="M60" s="99"/>
      <c r="R60" s="1"/>
    </row>
    <row r="61" spans="1:18" s="2" customForma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41"/>
      <c r="M61" s="99"/>
      <c r="R61" s="1"/>
    </row>
    <row r="62" spans="1:18" s="2" customForma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41"/>
      <c r="M62" s="99"/>
      <c r="R62" s="1"/>
    </row>
    <row r="63" spans="1:18" x14ac:dyDescent="0.3">
      <c r="L63" s="99"/>
      <c r="M63" s="99"/>
    </row>
    <row r="64" spans="1:18" x14ac:dyDescent="0.3">
      <c r="L64" s="99"/>
      <c r="M64" s="99"/>
    </row>
    <row r="65" spans="10:17" x14ac:dyDescent="0.3">
      <c r="L65" s="99"/>
      <c r="M65" s="99"/>
    </row>
    <row r="66" spans="10:17" x14ac:dyDescent="0.3">
      <c r="L66" s="99"/>
      <c r="M66" s="99"/>
    </row>
    <row r="67" spans="10:17" x14ac:dyDescent="0.3">
      <c r="L67" s="99"/>
      <c r="M67" s="99"/>
    </row>
    <row r="68" spans="10:17" x14ac:dyDescent="0.3">
      <c r="L68" s="99"/>
      <c r="M68" s="99"/>
    </row>
    <row r="69" spans="10:17" x14ac:dyDescent="0.3">
      <c r="L69" s="99"/>
      <c r="M69" s="99"/>
    </row>
    <row r="70" spans="10:17" x14ac:dyDescent="0.3">
      <c r="N70" s="1"/>
      <c r="O70" s="1"/>
      <c r="P70" s="1"/>
      <c r="Q70" s="1"/>
    </row>
    <row r="71" spans="10:17" x14ac:dyDescent="0.3">
      <c r="N71" s="1"/>
      <c r="O71" s="1"/>
      <c r="P71" s="1"/>
      <c r="Q71" s="1"/>
    </row>
    <row r="72" spans="10:17" x14ac:dyDescent="0.3">
      <c r="N72" s="1"/>
      <c r="O72" s="1"/>
      <c r="P72" s="1"/>
      <c r="Q72" s="1"/>
    </row>
    <row r="73" spans="10:17" x14ac:dyDescent="0.3">
      <c r="J73" s="2"/>
      <c r="N73" s="1"/>
      <c r="O73" s="1"/>
      <c r="P73" s="1"/>
      <c r="Q73" s="1"/>
    </row>
    <row r="74" spans="10:17" x14ac:dyDescent="0.3">
      <c r="J74" s="2"/>
      <c r="N74" s="1"/>
      <c r="O74" s="1"/>
      <c r="P74" s="1"/>
      <c r="Q74" s="1"/>
    </row>
    <row r="75" spans="10:17" x14ac:dyDescent="0.3">
      <c r="J75" s="2"/>
      <c r="N75" s="1"/>
      <c r="O75" s="1"/>
      <c r="P75" s="1"/>
      <c r="Q75" s="1"/>
    </row>
    <row r="76" spans="10:17" x14ac:dyDescent="0.3">
      <c r="J76" s="2"/>
      <c r="N76" s="1"/>
      <c r="O76" s="1"/>
      <c r="P76" s="1"/>
      <c r="Q76" s="1"/>
    </row>
    <row r="77" spans="10:17" x14ac:dyDescent="0.3">
      <c r="J77" s="2"/>
      <c r="N77" s="1"/>
      <c r="O77" s="1"/>
      <c r="P77" s="1"/>
      <c r="Q77" s="1"/>
    </row>
    <row r="78" spans="10:17" x14ac:dyDescent="0.3">
      <c r="J78" s="2"/>
      <c r="N78" s="1"/>
      <c r="O78" s="1"/>
      <c r="P78" s="1"/>
      <c r="Q78" s="1"/>
    </row>
    <row r="79" spans="10:17" x14ac:dyDescent="0.3">
      <c r="J79" s="2"/>
      <c r="N79" s="1"/>
      <c r="O79" s="1"/>
      <c r="P79" s="1"/>
      <c r="Q79" s="1"/>
    </row>
    <row r="80" spans="10:17" x14ac:dyDescent="0.3">
      <c r="J80" s="2"/>
      <c r="N80" s="1"/>
      <c r="O80" s="1"/>
      <c r="P80" s="1"/>
      <c r="Q80" s="1"/>
    </row>
    <row r="81" spans="3:17" x14ac:dyDescent="0.3">
      <c r="J81" s="2"/>
      <c r="N81" s="1"/>
      <c r="O81" s="1"/>
      <c r="P81" s="1"/>
      <c r="Q81" s="1"/>
    </row>
    <row r="82" spans="3:17" x14ac:dyDescent="0.3">
      <c r="J82" s="2"/>
      <c r="N82" s="1"/>
      <c r="O82" s="1"/>
      <c r="P82" s="1"/>
      <c r="Q82" s="1"/>
    </row>
    <row r="83" spans="3:17" x14ac:dyDescent="0.3">
      <c r="J83" s="2"/>
      <c r="N83" s="1"/>
      <c r="O83" s="1"/>
      <c r="P83" s="1"/>
      <c r="Q83" s="1"/>
    </row>
    <row r="84" spans="3:17" x14ac:dyDescent="0.3">
      <c r="J84" s="2"/>
      <c r="N84" s="1"/>
      <c r="O84" s="1"/>
      <c r="P84" s="1"/>
      <c r="Q84" s="1"/>
    </row>
    <row r="85" spans="3:17" x14ac:dyDescent="0.3">
      <c r="J85" s="2"/>
      <c r="N85" s="1"/>
      <c r="O85" s="1"/>
      <c r="P85" s="1"/>
      <c r="Q85" s="1"/>
    </row>
    <row r="86" spans="3:17" x14ac:dyDescent="0.3">
      <c r="J86" s="2"/>
      <c r="N86" s="1"/>
      <c r="O86" s="1"/>
      <c r="P86" s="1"/>
      <c r="Q86" s="1"/>
    </row>
    <row r="87" spans="3:17" x14ac:dyDescent="0.3">
      <c r="J87" s="2"/>
      <c r="N87" s="1"/>
      <c r="O87" s="1"/>
      <c r="P87" s="1"/>
      <c r="Q87" s="1"/>
    </row>
    <row r="88" spans="3:17" x14ac:dyDescent="0.3">
      <c r="J88" s="2"/>
      <c r="N88" s="1"/>
      <c r="O88" s="1"/>
      <c r="P88" s="1"/>
      <c r="Q88" s="1"/>
    </row>
    <row r="89" spans="3:17" x14ac:dyDescent="0.3">
      <c r="J89" s="2"/>
      <c r="N89" s="1"/>
      <c r="O89" s="1"/>
      <c r="P89" s="1"/>
      <c r="Q89" s="1"/>
    </row>
    <row r="90" spans="3:17" x14ac:dyDescent="0.3">
      <c r="J90" s="2"/>
      <c r="N90" s="1"/>
      <c r="O90" s="1"/>
      <c r="P90" s="1"/>
      <c r="Q90" s="1"/>
    </row>
    <row r="91" spans="3:17" x14ac:dyDescent="0.3">
      <c r="J91" s="2"/>
      <c r="N91" s="1"/>
      <c r="O91" s="1"/>
      <c r="P91" s="1"/>
      <c r="Q91" s="1"/>
    </row>
    <row r="92" spans="3:17" x14ac:dyDescent="0.3">
      <c r="J92" s="2"/>
      <c r="N92" s="1"/>
      <c r="O92" s="1"/>
      <c r="P92" s="1"/>
      <c r="Q92" s="1"/>
    </row>
    <row r="93" spans="3:17" x14ac:dyDescent="0.3">
      <c r="J93" s="2"/>
      <c r="N93" s="1"/>
      <c r="O93" s="1"/>
      <c r="P93" s="1"/>
      <c r="Q93" s="1"/>
    </row>
    <row r="94" spans="3:17" x14ac:dyDescent="0.3">
      <c r="C94" s="143"/>
      <c r="D94" s="143"/>
      <c r="E94" s="143"/>
      <c r="F94" s="143"/>
      <c r="G94" s="143"/>
      <c r="H94" s="143"/>
    </row>
    <row r="95" spans="3:17" x14ac:dyDescent="0.3">
      <c r="C95" s="143"/>
      <c r="D95" s="143"/>
      <c r="E95" s="143"/>
      <c r="F95" s="143"/>
      <c r="G95" s="143"/>
      <c r="H95" s="143"/>
    </row>
    <row r="96" spans="3:17" x14ac:dyDescent="0.3">
      <c r="C96" s="143"/>
      <c r="D96" s="143"/>
      <c r="E96" s="143"/>
      <c r="F96" s="143"/>
      <c r="G96" s="143"/>
      <c r="H96" s="143"/>
    </row>
    <row r="97" spans="1:18" x14ac:dyDescent="0.3">
      <c r="C97" s="143"/>
      <c r="D97" s="143"/>
      <c r="E97" s="143"/>
      <c r="F97" s="143"/>
      <c r="G97" s="143"/>
      <c r="H97" s="143"/>
    </row>
    <row r="98" spans="1:18" x14ac:dyDescent="0.3">
      <c r="C98" s="143"/>
      <c r="D98" s="143"/>
      <c r="E98" s="143"/>
      <c r="F98" s="143"/>
      <c r="G98" s="143"/>
      <c r="H98" s="143"/>
    </row>
    <row r="99" spans="1:18" x14ac:dyDescent="0.3">
      <c r="C99" s="143"/>
      <c r="D99" s="143"/>
      <c r="E99" s="143"/>
      <c r="G99" s="9"/>
    </row>
    <row r="100" spans="1:18" x14ac:dyDescent="0.3">
      <c r="F100" s="9"/>
      <c r="G100" s="9"/>
      <c r="H100" s="9"/>
    </row>
    <row r="101" spans="1:18" x14ac:dyDescent="0.3">
      <c r="C101" s="143"/>
      <c r="D101" s="143"/>
      <c r="E101" s="143"/>
      <c r="F101" s="143"/>
      <c r="G101" s="143"/>
      <c r="H101" s="143"/>
    </row>
    <row r="102" spans="1:18" x14ac:dyDescent="0.3">
      <c r="C102" s="143"/>
      <c r="D102" s="143"/>
      <c r="E102" s="143"/>
      <c r="F102" s="143"/>
      <c r="G102" s="143"/>
      <c r="H102" s="143"/>
    </row>
    <row r="103" spans="1:18" x14ac:dyDescent="0.3">
      <c r="C103" s="143"/>
      <c r="D103" s="143"/>
      <c r="E103" s="143"/>
      <c r="F103" s="143"/>
      <c r="G103" s="143"/>
      <c r="H103" s="143"/>
    </row>
    <row r="104" spans="1:18" x14ac:dyDescent="0.3">
      <c r="C104" s="143"/>
      <c r="D104" s="143"/>
      <c r="E104" s="143"/>
      <c r="F104" s="143"/>
      <c r="G104" s="143"/>
      <c r="H104" s="143"/>
    </row>
    <row r="105" spans="1:18" x14ac:dyDescent="0.3">
      <c r="C105" s="143"/>
      <c r="D105" s="143"/>
      <c r="E105" s="143"/>
      <c r="F105" s="143"/>
      <c r="G105" s="143"/>
      <c r="H105" s="143"/>
    </row>
    <row r="106" spans="1:18" x14ac:dyDescent="0.3">
      <c r="C106" s="143"/>
      <c r="D106" s="143"/>
      <c r="E106" s="143"/>
      <c r="F106" s="143"/>
      <c r="G106" s="143"/>
      <c r="H106" s="143"/>
    </row>
    <row r="107" spans="1:18" x14ac:dyDescent="0.3">
      <c r="C107" s="143"/>
      <c r="D107" s="143"/>
      <c r="E107" s="143"/>
      <c r="F107" s="143"/>
      <c r="G107" s="143"/>
      <c r="H107" s="143"/>
    </row>
    <row r="108" spans="1:18" x14ac:dyDescent="0.3">
      <c r="C108" s="143"/>
      <c r="D108" s="143"/>
      <c r="E108" s="143"/>
      <c r="F108" s="143"/>
      <c r="G108" s="143"/>
      <c r="H108" s="143"/>
    </row>
    <row r="109" spans="1:18" x14ac:dyDescent="0.3">
      <c r="C109" s="143"/>
      <c r="D109" s="143"/>
      <c r="E109" s="143"/>
      <c r="F109" s="143"/>
      <c r="G109" s="143"/>
      <c r="H109" s="143"/>
    </row>
    <row r="110" spans="1:18" x14ac:dyDescent="0.3">
      <c r="C110" s="143"/>
      <c r="D110" s="143"/>
      <c r="E110" s="143"/>
      <c r="F110" s="143"/>
      <c r="G110" s="143"/>
      <c r="H110" s="143"/>
    </row>
    <row r="111" spans="1:18" s="2" customFormat="1" x14ac:dyDescent="0.3">
      <c r="A111" s="1"/>
      <c r="B111" s="1"/>
      <c r="C111" s="143"/>
      <c r="D111" s="143"/>
      <c r="E111" s="143"/>
      <c r="F111" s="143"/>
      <c r="G111" s="143"/>
      <c r="H111" s="143"/>
      <c r="I111" s="1"/>
      <c r="J111" s="1"/>
      <c r="K111" s="1"/>
      <c r="R111" s="1"/>
    </row>
    <row r="112" spans="1:18" s="2" customFormat="1" x14ac:dyDescent="0.3">
      <c r="A112" s="1"/>
      <c r="B112" s="1"/>
      <c r="C112" s="143"/>
      <c r="D112" s="143"/>
      <c r="E112" s="143"/>
      <c r="F112" s="143"/>
      <c r="G112" s="143"/>
      <c r="H112" s="143"/>
      <c r="I112" s="1"/>
      <c r="J112" s="1"/>
      <c r="K112" s="1"/>
      <c r="R112" s="1"/>
    </row>
    <row r="113" spans="1:18" s="2" customFormat="1" x14ac:dyDescent="0.3">
      <c r="A113" s="1"/>
      <c r="B113" s="1"/>
      <c r="C113" s="143"/>
      <c r="D113" s="143"/>
      <c r="E113" s="143"/>
      <c r="F113" s="143"/>
      <c r="G113" s="143"/>
      <c r="H113" s="143"/>
      <c r="I113" s="1"/>
      <c r="J113" s="1"/>
      <c r="K113" s="1"/>
      <c r="O113" s="2">
        <f>F48</f>
        <v>7106558.4866279848</v>
      </c>
      <c r="R113" s="1"/>
    </row>
    <row r="114" spans="1:18" s="2" customFormat="1" x14ac:dyDescent="0.3">
      <c r="A114" s="1"/>
      <c r="B114" s="1"/>
      <c r="C114" s="143"/>
      <c r="D114" s="143"/>
      <c r="E114" s="143"/>
      <c r="F114" s="143"/>
      <c r="G114" s="143"/>
      <c r="H114" s="143"/>
      <c r="I114" s="1"/>
      <c r="J114" s="1"/>
      <c r="K114" s="1"/>
      <c r="O114" s="2" t="s">
        <v>136</v>
      </c>
      <c r="R114" s="1"/>
    </row>
    <row r="115" spans="1:18" s="2" customFormat="1" x14ac:dyDescent="0.3">
      <c r="A115" s="1"/>
      <c r="B115" s="1"/>
      <c r="C115" s="143"/>
      <c r="D115" s="143"/>
      <c r="E115" s="143"/>
      <c r="F115" s="143"/>
      <c r="G115" s="143"/>
      <c r="H115" s="143"/>
      <c r="I115" s="1"/>
      <c r="J115" s="1"/>
      <c r="K115" s="1"/>
      <c r="R115" s="1"/>
    </row>
    <row r="116" spans="1:18" s="2" customFormat="1" x14ac:dyDescent="0.3">
      <c r="A116" s="1"/>
      <c r="B116" s="1"/>
      <c r="C116" s="143"/>
      <c r="D116" s="143"/>
      <c r="E116" s="143"/>
      <c r="F116" s="144"/>
      <c r="G116" s="143"/>
      <c r="H116" s="144"/>
      <c r="I116" s="1"/>
      <c r="J116" s="1"/>
      <c r="K116" s="1"/>
      <c r="R116" s="1"/>
    </row>
  </sheetData>
  <pageMargins left="0.19685039370078741" right="0.19685039370078741" top="0.19685039370078741" bottom="0.19685039370078741" header="0.19685039370078741" footer="0"/>
  <pageSetup paperSize="9" scale="2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480E-F342-445C-B2FA-902234CA508D}">
  <dimension ref="B2:B3"/>
  <sheetViews>
    <sheetView showGridLines="0" workbookViewId="0">
      <selection activeCell="B2" sqref="B2"/>
    </sheetView>
  </sheetViews>
  <sheetFormatPr defaultRowHeight="14.4" x14ac:dyDescent="0.3"/>
  <sheetData>
    <row r="2" spans="2:2" x14ac:dyDescent="0.3">
      <c r="B2" t="s">
        <v>148</v>
      </c>
    </row>
    <row r="3" spans="2:2" x14ac:dyDescent="0.3">
      <c r="B3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E7A4-B60D-4E01-AE18-D4D930A623F9}">
  <dimension ref="B2"/>
  <sheetViews>
    <sheetView showGridLines="0" workbookViewId="0">
      <selection activeCell="F8" sqref="F8"/>
    </sheetView>
  </sheetViews>
  <sheetFormatPr defaultRowHeight="14.4" x14ac:dyDescent="0.3"/>
  <sheetData>
    <row r="2" spans="2:2" x14ac:dyDescent="0.3">
      <c r="B2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490A-BC37-49A0-AEB6-9CFCA8FBB676}">
  <dimension ref="A1"/>
  <sheetViews>
    <sheetView showGridLines="0" zoomScale="70" zoomScaleNormal="70" workbookViewId="0">
      <selection activeCell="AC37" sqref="AC3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6</vt:i4>
      </vt:variant>
    </vt:vector>
  </HeadingPairs>
  <TitlesOfParts>
    <vt:vector size="15" baseType="lpstr">
      <vt:lpstr>Cálculo</vt:lpstr>
      <vt:lpstr>Receita</vt:lpstr>
      <vt:lpstr>Input price</vt:lpstr>
      <vt:lpstr>Usage</vt:lpstr>
      <vt:lpstr>Fixed Cost</vt:lpstr>
      <vt:lpstr>Forex</vt:lpstr>
      <vt:lpstr>SV-Others</vt:lpstr>
      <vt:lpstr>EBITDA</vt:lpstr>
      <vt:lpstr>Bridge</vt:lpstr>
      <vt:lpstr>Cálculo!Area_de_impressao</vt:lpstr>
      <vt:lpstr>'Fixed Cost'!Area_de_impressao</vt:lpstr>
      <vt:lpstr>Forex!Area_de_impressao</vt:lpstr>
      <vt:lpstr>'Input price'!Area_de_impressao</vt:lpstr>
      <vt:lpstr>Receita!Area_de_impressao</vt:lpstr>
      <vt:lpstr>Usage!Area_de_impressao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Ronchi, Felipe A</dc:creator>
  <cp:lastModifiedBy>Ronchi, Felipe A</cp:lastModifiedBy>
  <dcterms:created xsi:type="dcterms:W3CDTF">2026-07-31T18:49:34Z</dcterms:created>
  <dcterms:modified xsi:type="dcterms:W3CDTF">2026-07-31T20:46:01Z</dcterms:modified>
</cp:coreProperties>
</file>